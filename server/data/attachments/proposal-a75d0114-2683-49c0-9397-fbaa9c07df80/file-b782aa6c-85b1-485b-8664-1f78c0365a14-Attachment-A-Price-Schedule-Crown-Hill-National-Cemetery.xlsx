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olalekan_ismail_va_gov/Documents/NCA Folder/1 Active Working Contracts/36C78626Q50032 Crown Hill National Cemetery Ground Maintenance/"/>
    </mc:Choice>
  </mc:AlternateContent>
  <xr:revisionPtr revIDLastSave="88" documentId="8_{4039C9E4-B0C0-40DA-BACD-47B8D2C6B095}" xr6:coauthVersionLast="47" xr6:coauthVersionMax="47" xr10:uidLastSave="{A322BA5B-5A2A-4E74-A820-E97D8EA3CCD5}"/>
  <bookViews>
    <workbookView xWindow="-120" yWindow="-120" windowWidth="29040" windowHeight="15720" xr2:uid="{00000000-000D-0000-FFFF-FFFF00000000}"/>
  </bookViews>
  <sheets>
    <sheet name="BASE" sheetId="2" r:id="rId1"/>
    <sheet name="OY1" sheetId="4" r:id="rId2"/>
    <sheet name="OY2" sheetId="8" r:id="rId3"/>
    <sheet name="OY3" sheetId="9" r:id="rId4"/>
    <sheet name="OY4" sheetId="10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0" l="1"/>
  <c r="F41" i="10" s="1"/>
  <c r="F40" i="9"/>
  <c r="F41" i="9" s="1"/>
  <c r="F40" i="8"/>
  <c r="F41" i="8" s="1"/>
  <c r="F40" i="4" l="1"/>
  <c r="F41" i="2"/>
  <c r="F41" i="4" l="1"/>
  <c r="D49" i="2" l="1"/>
</calcChain>
</file>

<file path=xl/sharedStrings.xml><?xml version="1.0" encoding="utf-8"?>
<sst xmlns="http://schemas.openxmlformats.org/spreadsheetml/2006/main" count="423" uniqueCount="64">
  <si>
    <t>Services</t>
  </si>
  <si>
    <t>CLIN</t>
  </si>
  <si>
    <t>Description</t>
  </si>
  <si>
    <t>Unit</t>
  </si>
  <si>
    <t>Aggregated Total (Supplies &amp; Services)</t>
  </si>
  <si>
    <t xml:space="preserve">  Subtotal (Services)</t>
  </si>
  <si>
    <t>** Each period of performance requires an IGCE – (base award, and all option periods require an IGCE)</t>
  </si>
  <si>
    <t>Base Year</t>
  </si>
  <si>
    <t>Option Year 1</t>
  </si>
  <si>
    <t>Option Year 2</t>
  </si>
  <si>
    <t>Option Year 3</t>
  </si>
  <si>
    <t>Option Year 4</t>
  </si>
  <si>
    <t>Aggreated Base thru Option Year 4 Total</t>
  </si>
  <si>
    <t>Est. Qty</t>
  </si>
  <si>
    <t>Unit Price</t>
  </si>
  <si>
    <t>Extended Price</t>
  </si>
  <si>
    <t>Interment shelter: cleaning and flag raising/lowering</t>
  </si>
  <si>
    <t>EA</t>
  </si>
  <si>
    <t>EV</t>
  </si>
  <si>
    <t>MO</t>
  </si>
  <si>
    <t>SF</t>
  </si>
  <si>
    <t>Transport urn and floral arrangements</t>
  </si>
  <si>
    <t>Receive &amp; Install new and replaced niche covers</t>
  </si>
  <si>
    <t>Support for weekend or Holiday interments</t>
  </si>
  <si>
    <t>Support for Holidays and Special Events</t>
  </si>
  <si>
    <t>Mow turfgrass (2.2 acres)</t>
  </si>
  <si>
    <t>String trim around 2,095 headstones</t>
  </si>
  <si>
    <t>Blade edge along sidewalks, curbs, and other flat surfaces</t>
  </si>
  <si>
    <t>Fertilizer: supply and apply over historic, Confederate, and 12 Annex acres; early May, early Sep, and early Nov</t>
  </si>
  <si>
    <t>Pre-emergent herbicide: supply and apply on 14.2 acres twice: Mar/April and late June</t>
  </si>
  <si>
    <t>Post-emergent broadleaf herbicide; supply and apply to 14.2 acres twice -- mid-May and late June</t>
  </si>
  <si>
    <t>Post-emergent yellow-nutsedge and crabgrass herbicide; supply and apply to 14.2 acres once -- June</t>
  </si>
  <si>
    <t>Grub insecticide: supply and apply to 14.2 acres once -- June</t>
  </si>
  <si>
    <t>Overseed turfgrass: 2.2 acres in Historic cemetery and Confederate plot -- September</t>
  </si>
  <si>
    <t xml:space="preserve">Fall leaf removal </t>
  </si>
  <si>
    <t>Planting beds &amp; tree rings -- mulch and edge maintenance -- April/early May</t>
  </si>
  <si>
    <t>Planting beds &amp; tree rings -- pre-emergence herbicide -- April and September</t>
  </si>
  <si>
    <t>NA</t>
  </si>
  <si>
    <t>Planting beds &amp; tree rings: mulch and edge maintenance -- April/early May</t>
  </si>
  <si>
    <t>Planting beds &amp; tree rings: pre-emergence herbicide -- April and September</t>
  </si>
  <si>
    <t>Planting beds &amp; tree rings:emerged weed removal/control -- April through October</t>
  </si>
  <si>
    <t>Shrub maintenance/pruning: Spring and Fall</t>
  </si>
  <si>
    <t>Mole and rodent control: extermination and pest svcs</t>
  </si>
  <si>
    <t>Sunken Grave Repair</t>
  </si>
  <si>
    <t>Turfgrass renovation</t>
  </si>
  <si>
    <t>Irrigation system: fall shutdown, spring startup, backflow testing</t>
  </si>
  <si>
    <t>Irrigation system: operation and maintenance</t>
  </si>
  <si>
    <t>Road cleaning/sweeping/blowing</t>
  </si>
  <si>
    <t xml:space="preserve">Trash and debris removal </t>
  </si>
  <si>
    <t>Pressure wash commital shelter, columbaria, other hardscapes</t>
  </si>
  <si>
    <r>
      <t xml:space="preserve">Insect and pest control at committal shelter and Admin Building </t>
    </r>
    <r>
      <rPr>
        <b/>
        <sz val="10"/>
        <color theme="1"/>
        <rFont val="Arial"/>
        <family val="2"/>
      </rPr>
      <t>(optional)</t>
    </r>
  </si>
  <si>
    <t>Snow removal and Ice Melt application: streets, parking lots; walkways and sidewalks</t>
  </si>
  <si>
    <t>Headstone cleaning - all 2,095</t>
  </si>
  <si>
    <r>
      <t xml:space="preserve">Soil sampling/testing </t>
    </r>
    <r>
      <rPr>
        <b/>
        <sz val="10"/>
        <color theme="1"/>
        <rFont val="Arial"/>
        <family val="2"/>
      </rPr>
      <t>(optional)</t>
    </r>
  </si>
  <si>
    <r>
      <t xml:space="preserve">Japanese Beetle control on trees and shrubs </t>
    </r>
    <r>
      <rPr>
        <b/>
        <sz val="10"/>
        <color theme="1"/>
        <rFont val="Arial"/>
        <family val="2"/>
      </rPr>
      <t>(optional)</t>
    </r>
  </si>
  <si>
    <t>Price Schedule</t>
  </si>
  <si>
    <t xml:space="preserve">Tree pruning </t>
  </si>
  <si>
    <t xml:space="preserve">Tree removal </t>
  </si>
  <si>
    <t xml:space="preserve">Ice Melt Application </t>
  </si>
  <si>
    <t xml:space="preserve">Tree stump removal </t>
  </si>
  <si>
    <r>
      <t xml:space="preserve">Insect and pest control at committal shelter and Admin Building </t>
    </r>
    <r>
      <rPr>
        <b/>
        <sz val="14"/>
        <color theme="1"/>
        <rFont val="Arial"/>
        <family val="2"/>
      </rPr>
      <t>(optional)</t>
    </r>
  </si>
  <si>
    <t xml:space="preserve">Japanese Beetle control on trees and shrubs </t>
  </si>
  <si>
    <t xml:space="preserve">Soil sampling/testing </t>
  </si>
  <si>
    <t xml:space="preserve">Core aeration of turfgrass: 2.2 acres in Historic cemetery only in base year -- September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</si>
</sst>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 wrapText="1"/>
    </xf>
    <xf numFmtId="44" fontId="2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4" fontId="2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4" fontId="6" fillId="0" borderId="1" xfId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7" fillId="0" borderId="1" xfId="1" applyNumberFormat="1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 wrapText="1"/>
    </xf>
    <xf numFmtId="4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abSelected="1" topLeftCell="A22" zoomScaleNormal="100" workbookViewId="0">
      <selection activeCell="D24" sqref="D24"/>
    </sheetView>
  </sheetViews>
  <sheetFormatPr defaultRowHeight="15" x14ac:dyDescent="0.25"/>
  <cols>
    <col min="1" max="1" width="8.5703125" style="9" customWidth="1"/>
    <col min="2" max="2" width="55.5703125" style="9" customWidth="1"/>
    <col min="3" max="3" width="9.28515625" style="9" customWidth="1"/>
    <col min="4" max="4" width="8.42578125" style="9" customWidth="1"/>
    <col min="5" max="5" width="10.140625" style="9" customWidth="1"/>
    <col min="6" max="6" width="18" style="9" customWidth="1"/>
    <col min="7" max="7" width="9.140625" style="9"/>
    <col min="8" max="8" width="10.140625" style="9" bestFit="1" customWidth="1"/>
    <col min="9" max="9" width="9.140625" style="9" bestFit="1" customWidth="1"/>
    <col min="10" max="16" width="9.140625" style="9"/>
    <col min="17" max="17" width="14.85546875" style="9" bestFit="1" customWidth="1"/>
    <col min="18" max="16384" width="9.140625" style="9"/>
  </cols>
  <sheetData>
    <row r="1" spans="1:9" ht="15.75" x14ac:dyDescent="0.25">
      <c r="A1" s="34" t="s">
        <v>55</v>
      </c>
      <c r="B1" s="34"/>
      <c r="C1" s="34"/>
      <c r="D1" s="34"/>
      <c r="E1" s="34"/>
      <c r="F1" s="34"/>
    </row>
    <row r="2" spans="1:9" s="10" customFormat="1" ht="12.75" x14ac:dyDescent="0.25">
      <c r="A2" s="35" t="s">
        <v>0</v>
      </c>
      <c r="B2" s="35"/>
      <c r="C2" s="35"/>
      <c r="D2" s="36"/>
      <c r="E2" s="36"/>
      <c r="F2" s="36"/>
    </row>
    <row r="3" spans="1:9" s="10" customFormat="1" ht="36" x14ac:dyDescent="0.25">
      <c r="A3" s="21" t="s">
        <v>1</v>
      </c>
      <c r="B3" s="21" t="s">
        <v>2</v>
      </c>
      <c r="C3" s="21" t="s">
        <v>13</v>
      </c>
      <c r="D3" s="21" t="s">
        <v>3</v>
      </c>
      <c r="E3" s="22" t="s">
        <v>14</v>
      </c>
      <c r="F3" s="22" t="s">
        <v>15</v>
      </c>
    </row>
    <row r="4" spans="1:9" s="10" customFormat="1" ht="36" x14ac:dyDescent="0.25">
      <c r="A4" s="23">
        <v>1</v>
      </c>
      <c r="B4" s="24" t="s">
        <v>16</v>
      </c>
      <c r="C4" s="25">
        <v>270</v>
      </c>
      <c r="D4" s="25" t="s">
        <v>17</v>
      </c>
      <c r="E4" s="26"/>
      <c r="F4" s="27"/>
      <c r="H4" s="16"/>
      <c r="I4" s="18"/>
    </row>
    <row r="5" spans="1:9" s="10" customFormat="1" ht="18" x14ac:dyDescent="0.25">
      <c r="A5" s="23">
        <v>2</v>
      </c>
      <c r="B5" s="24" t="s">
        <v>21</v>
      </c>
      <c r="C5" s="25">
        <v>350</v>
      </c>
      <c r="D5" s="25" t="s">
        <v>17</v>
      </c>
      <c r="E5" s="26"/>
      <c r="F5" s="27"/>
      <c r="H5" s="16"/>
      <c r="I5" s="18"/>
    </row>
    <row r="6" spans="1:9" s="10" customFormat="1" ht="36" x14ac:dyDescent="0.25">
      <c r="A6" s="23">
        <v>3</v>
      </c>
      <c r="B6" s="24" t="s">
        <v>22</v>
      </c>
      <c r="C6" s="25">
        <v>350</v>
      </c>
      <c r="D6" s="25" t="s">
        <v>17</v>
      </c>
      <c r="E6" s="26"/>
      <c r="F6" s="27"/>
      <c r="H6" s="16"/>
      <c r="I6" s="18"/>
    </row>
    <row r="7" spans="1:9" s="10" customFormat="1" ht="18" x14ac:dyDescent="0.25">
      <c r="A7" s="23">
        <v>4</v>
      </c>
      <c r="B7" s="24" t="s">
        <v>23</v>
      </c>
      <c r="C7" s="25">
        <v>10</v>
      </c>
      <c r="D7" s="25" t="s">
        <v>17</v>
      </c>
      <c r="E7" s="26"/>
      <c r="F7" s="27"/>
      <c r="H7" s="16"/>
      <c r="I7" s="18"/>
    </row>
    <row r="8" spans="1:9" s="10" customFormat="1" ht="18" x14ac:dyDescent="0.25">
      <c r="A8" s="23">
        <v>5</v>
      </c>
      <c r="B8" s="24" t="s">
        <v>24</v>
      </c>
      <c r="C8" s="25">
        <v>2</v>
      </c>
      <c r="D8" s="25" t="s">
        <v>17</v>
      </c>
      <c r="E8" s="26"/>
      <c r="F8" s="27"/>
      <c r="H8" s="16"/>
      <c r="I8" s="18"/>
    </row>
    <row r="9" spans="1:9" s="10" customFormat="1" ht="18" x14ac:dyDescent="0.25">
      <c r="A9" s="23">
        <v>6</v>
      </c>
      <c r="B9" s="24" t="s">
        <v>25</v>
      </c>
      <c r="C9" s="25">
        <v>39</v>
      </c>
      <c r="D9" s="25" t="s">
        <v>17</v>
      </c>
      <c r="E9" s="26"/>
      <c r="F9" s="27"/>
      <c r="H9" s="16"/>
      <c r="I9" s="18"/>
    </row>
    <row r="10" spans="1:9" s="10" customFormat="1" ht="18" x14ac:dyDescent="0.25">
      <c r="A10" s="23">
        <v>7</v>
      </c>
      <c r="B10" s="24" t="s">
        <v>26</v>
      </c>
      <c r="C10" s="25">
        <v>39</v>
      </c>
      <c r="D10" s="25" t="s">
        <v>18</v>
      </c>
      <c r="E10" s="26"/>
      <c r="F10" s="27"/>
      <c r="H10" s="16"/>
      <c r="I10" s="18"/>
    </row>
    <row r="11" spans="1:9" s="10" customFormat="1" ht="36" x14ac:dyDescent="0.25">
      <c r="A11" s="23">
        <v>8</v>
      </c>
      <c r="B11" s="24" t="s">
        <v>27</v>
      </c>
      <c r="C11" s="25">
        <v>8</v>
      </c>
      <c r="D11" s="25" t="s">
        <v>19</v>
      </c>
      <c r="E11" s="26"/>
      <c r="F11" s="27"/>
      <c r="H11" s="16"/>
      <c r="I11" s="18"/>
    </row>
    <row r="12" spans="1:9" s="10" customFormat="1" ht="54" x14ac:dyDescent="0.25">
      <c r="A12" s="23">
        <v>9</v>
      </c>
      <c r="B12" s="24" t="s">
        <v>28</v>
      </c>
      <c r="C12" s="25">
        <v>3</v>
      </c>
      <c r="D12" s="25" t="s">
        <v>18</v>
      </c>
      <c r="E12" s="26"/>
      <c r="F12" s="27"/>
      <c r="H12" s="16"/>
      <c r="I12" s="18"/>
    </row>
    <row r="13" spans="1:9" s="10" customFormat="1" ht="36" x14ac:dyDescent="0.25">
      <c r="A13" s="23">
        <v>10</v>
      </c>
      <c r="B13" s="24" t="s">
        <v>29</v>
      </c>
      <c r="C13" s="25">
        <v>2</v>
      </c>
      <c r="D13" s="25" t="s">
        <v>18</v>
      </c>
      <c r="E13" s="26"/>
      <c r="F13" s="27"/>
      <c r="H13" s="16"/>
      <c r="I13" s="18"/>
    </row>
    <row r="14" spans="1:9" s="10" customFormat="1" ht="54" x14ac:dyDescent="0.25">
      <c r="A14" s="23">
        <v>11</v>
      </c>
      <c r="B14" s="24" t="s">
        <v>30</v>
      </c>
      <c r="C14" s="25">
        <v>2</v>
      </c>
      <c r="D14" s="25" t="s">
        <v>18</v>
      </c>
      <c r="E14" s="26"/>
      <c r="F14" s="27"/>
      <c r="H14" s="16"/>
      <c r="I14" s="18"/>
    </row>
    <row r="15" spans="1:9" s="10" customFormat="1" ht="54" x14ac:dyDescent="0.25">
      <c r="A15" s="23">
        <v>12</v>
      </c>
      <c r="B15" s="24" t="s">
        <v>31</v>
      </c>
      <c r="C15" s="25">
        <v>1</v>
      </c>
      <c r="D15" s="25" t="s">
        <v>18</v>
      </c>
      <c r="E15" s="26"/>
      <c r="F15" s="27"/>
      <c r="H15" s="16"/>
      <c r="I15" s="18"/>
    </row>
    <row r="16" spans="1:9" s="10" customFormat="1" ht="36" x14ac:dyDescent="0.25">
      <c r="A16" s="23">
        <v>13</v>
      </c>
      <c r="B16" s="24" t="s">
        <v>32</v>
      </c>
      <c r="C16" s="25">
        <v>1</v>
      </c>
      <c r="D16" s="25" t="s">
        <v>18</v>
      </c>
      <c r="E16" s="26"/>
      <c r="F16" s="27"/>
      <c r="H16" s="16"/>
      <c r="I16" s="18"/>
    </row>
    <row r="17" spans="1:9" s="10" customFormat="1" ht="54" x14ac:dyDescent="0.25">
      <c r="A17" s="23">
        <v>14</v>
      </c>
      <c r="B17" s="24" t="s">
        <v>63</v>
      </c>
      <c r="C17" s="25">
        <v>1</v>
      </c>
      <c r="D17" s="25" t="s">
        <v>18</v>
      </c>
      <c r="E17" s="26"/>
      <c r="F17" s="27"/>
      <c r="H17" s="16"/>
      <c r="I17" s="18"/>
    </row>
    <row r="18" spans="1:9" s="10" customFormat="1" ht="54" x14ac:dyDescent="0.25">
      <c r="A18" s="23">
        <v>15</v>
      </c>
      <c r="B18" s="24" t="s">
        <v>33</v>
      </c>
      <c r="C18" s="25">
        <v>1</v>
      </c>
      <c r="D18" s="25" t="s">
        <v>18</v>
      </c>
      <c r="E18" s="26"/>
      <c r="F18" s="27"/>
      <c r="H18" s="16"/>
      <c r="I18" s="18"/>
    </row>
    <row r="19" spans="1:9" s="10" customFormat="1" ht="18" x14ac:dyDescent="0.25">
      <c r="A19" s="23">
        <v>16</v>
      </c>
      <c r="B19" s="24" t="s">
        <v>34</v>
      </c>
      <c r="C19" s="25">
        <v>10</v>
      </c>
      <c r="D19" s="25" t="s">
        <v>18</v>
      </c>
      <c r="E19" s="26"/>
      <c r="F19" s="27"/>
      <c r="H19" s="16"/>
      <c r="I19" s="18"/>
    </row>
    <row r="20" spans="1:9" s="10" customFormat="1" ht="36" x14ac:dyDescent="0.25">
      <c r="A20" s="23">
        <v>17</v>
      </c>
      <c r="B20" s="24" t="s">
        <v>38</v>
      </c>
      <c r="C20" s="25">
        <v>1</v>
      </c>
      <c r="D20" s="25" t="s">
        <v>18</v>
      </c>
      <c r="E20" s="26"/>
      <c r="F20" s="27"/>
      <c r="H20" s="16"/>
      <c r="I20" s="18"/>
    </row>
    <row r="21" spans="1:9" s="10" customFormat="1" ht="36" x14ac:dyDescent="0.25">
      <c r="A21" s="23">
        <v>18</v>
      </c>
      <c r="B21" s="24" t="s">
        <v>39</v>
      </c>
      <c r="C21" s="25">
        <v>2</v>
      </c>
      <c r="D21" s="25" t="s">
        <v>18</v>
      </c>
      <c r="E21" s="26"/>
      <c r="F21" s="27"/>
      <c r="H21" s="16"/>
      <c r="I21" s="18"/>
    </row>
    <row r="22" spans="1:9" s="10" customFormat="1" ht="36" x14ac:dyDescent="0.25">
      <c r="A22" s="23">
        <v>19</v>
      </c>
      <c r="B22" s="24" t="s">
        <v>40</v>
      </c>
      <c r="C22" s="25">
        <v>7</v>
      </c>
      <c r="D22" s="25" t="s">
        <v>19</v>
      </c>
      <c r="E22" s="26"/>
      <c r="F22" s="27"/>
      <c r="H22" s="16"/>
      <c r="I22" s="18"/>
    </row>
    <row r="23" spans="1:9" s="10" customFormat="1" ht="18" x14ac:dyDescent="0.25">
      <c r="A23" s="23">
        <v>20</v>
      </c>
      <c r="B23" s="24" t="s">
        <v>41</v>
      </c>
      <c r="C23" s="25">
        <v>2</v>
      </c>
      <c r="D23" s="25" t="s">
        <v>18</v>
      </c>
      <c r="E23" s="26"/>
      <c r="F23" s="27"/>
      <c r="H23" s="16"/>
      <c r="I23" s="18"/>
    </row>
    <row r="24" spans="1:9" s="10" customFormat="1" ht="36" x14ac:dyDescent="0.25">
      <c r="A24" s="23">
        <v>21</v>
      </c>
      <c r="B24" s="24" t="s">
        <v>61</v>
      </c>
      <c r="C24" s="25">
        <v>2</v>
      </c>
      <c r="D24" s="25" t="s">
        <v>18</v>
      </c>
      <c r="E24" s="26"/>
      <c r="F24" s="27"/>
      <c r="H24" s="16"/>
      <c r="I24" s="18"/>
    </row>
    <row r="25" spans="1:9" s="10" customFormat="1" ht="36" x14ac:dyDescent="0.25">
      <c r="A25" s="23">
        <v>22</v>
      </c>
      <c r="B25" s="24" t="s">
        <v>42</v>
      </c>
      <c r="C25" s="25">
        <v>8</v>
      </c>
      <c r="D25" s="25" t="s">
        <v>19</v>
      </c>
      <c r="E25" s="26"/>
      <c r="F25" s="27"/>
      <c r="H25" s="16"/>
      <c r="I25" s="18"/>
    </row>
    <row r="26" spans="1:9" s="10" customFormat="1" ht="18" x14ac:dyDescent="0.25">
      <c r="A26" s="23">
        <v>23</v>
      </c>
      <c r="B26" s="24" t="s">
        <v>62</v>
      </c>
      <c r="C26" s="25">
        <v>1</v>
      </c>
      <c r="D26" s="25" t="s">
        <v>17</v>
      </c>
      <c r="E26" s="26"/>
      <c r="F26" s="27"/>
      <c r="H26" s="16"/>
      <c r="I26" s="18"/>
    </row>
    <row r="27" spans="1:9" s="10" customFormat="1" ht="18" x14ac:dyDescent="0.25">
      <c r="A27" s="23">
        <v>24</v>
      </c>
      <c r="B27" s="24" t="s">
        <v>43</v>
      </c>
      <c r="C27" s="25">
        <v>15</v>
      </c>
      <c r="D27" s="25" t="s">
        <v>17</v>
      </c>
      <c r="E27" s="26"/>
      <c r="F27" s="27"/>
      <c r="H27" s="16"/>
      <c r="I27" s="18"/>
    </row>
    <row r="28" spans="1:9" s="10" customFormat="1" ht="18" x14ac:dyDescent="0.25">
      <c r="A28" s="23">
        <v>25</v>
      </c>
      <c r="B28" s="24" t="s">
        <v>44</v>
      </c>
      <c r="C28" s="25">
        <v>600</v>
      </c>
      <c r="D28" s="25" t="s">
        <v>20</v>
      </c>
      <c r="E28" s="26"/>
      <c r="F28" s="27"/>
      <c r="H28" s="16"/>
      <c r="I28" s="18"/>
    </row>
    <row r="29" spans="1:9" s="10" customFormat="1" ht="36" x14ac:dyDescent="0.25">
      <c r="A29" s="23">
        <v>26</v>
      </c>
      <c r="B29" s="24" t="s">
        <v>45</v>
      </c>
      <c r="C29" s="25">
        <v>2</v>
      </c>
      <c r="D29" s="25" t="s">
        <v>17</v>
      </c>
      <c r="E29" s="26"/>
      <c r="F29" s="27"/>
      <c r="H29" s="16"/>
      <c r="I29" s="18"/>
    </row>
    <row r="30" spans="1:9" s="10" customFormat="1" ht="36" x14ac:dyDescent="0.25">
      <c r="A30" s="23">
        <v>27</v>
      </c>
      <c r="B30" s="24" t="s">
        <v>46</v>
      </c>
      <c r="C30" s="25">
        <v>8</v>
      </c>
      <c r="D30" s="25" t="s">
        <v>19</v>
      </c>
      <c r="E30" s="26"/>
      <c r="F30" s="27"/>
      <c r="H30" s="16"/>
      <c r="I30" s="18"/>
    </row>
    <row r="31" spans="1:9" s="10" customFormat="1" ht="18" x14ac:dyDescent="0.25">
      <c r="A31" s="23">
        <v>28</v>
      </c>
      <c r="B31" s="24" t="s">
        <v>47</v>
      </c>
      <c r="C31" s="25">
        <v>12</v>
      </c>
      <c r="D31" s="25" t="s">
        <v>19</v>
      </c>
      <c r="E31" s="26"/>
      <c r="F31" s="27"/>
      <c r="H31" s="16"/>
      <c r="I31" s="18"/>
    </row>
    <row r="32" spans="1:9" s="10" customFormat="1" ht="18" x14ac:dyDescent="0.25">
      <c r="A32" s="23">
        <v>29</v>
      </c>
      <c r="B32" s="24" t="s">
        <v>48</v>
      </c>
      <c r="C32" s="25">
        <v>12</v>
      </c>
      <c r="D32" s="25" t="s">
        <v>19</v>
      </c>
      <c r="E32" s="26"/>
      <c r="F32" s="27"/>
      <c r="H32" s="16"/>
      <c r="I32" s="18"/>
    </row>
    <row r="33" spans="1:9" s="10" customFormat="1" ht="36" x14ac:dyDescent="0.25">
      <c r="A33" s="23">
        <v>30</v>
      </c>
      <c r="B33" s="24" t="s">
        <v>49</v>
      </c>
      <c r="C33" s="25">
        <v>2</v>
      </c>
      <c r="D33" s="25" t="s">
        <v>18</v>
      </c>
      <c r="E33" s="26"/>
      <c r="F33" s="27"/>
      <c r="H33" s="16"/>
      <c r="I33" s="18"/>
    </row>
    <row r="34" spans="1:9" s="10" customFormat="1" ht="36" x14ac:dyDescent="0.25">
      <c r="A34" s="23">
        <v>31</v>
      </c>
      <c r="B34" s="24" t="s">
        <v>60</v>
      </c>
      <c r="C34" s="25">
        <v>8</v>
      </c>
      <c r="D34" s="25" t="s">
        <v>19</v>
      </c>
      <c r="E34" s="26"/>
      <c r="F34" s="27"/>
      <c r="H34" s="16"/>
      <c r="I34" s="18"/>
    </row>
    <row r="35" spans="1:9" s="10" customFormat="1" ht="54" x14ac:dyDescent="0.25">
      <c r="A35" s="23">
        <v>32</v>
      </c>
      <c r="B35" s="24" t="s">
        <v>51</v>
      </c>
      <c r="C35" s="25">
        <v>24</v>
      </c>
      <c r="D35" s="25" t="s">
        <v>18</v>
      </c>
      <c r="E35" s="26"/>
      <c r="F35" s="27"/>
      <c r="H35" s="16"/>
      <c r="I35" s="18"/>
    </row>
    <row r="36" spans="1:9" s="10" customFormat="1" ht="18" x14ac:dyDescent="0.25">
      <c r="A36" s="23">
        <v>33</v>
      </c>
      <c r="B36" s="24" t="s">
        <v>52</v>
      </c>
      <c r="C36" s="25">
        <v>2095</v>
      </c>
      <c r="D36" s="25" t="s">
        <v>17</v>
      </c>
      <c r="E36" s="26"/>
      <c r="F36" s="27"/>
      <c r="H36" s="16"/>
      <c r="I36" s="18"/>
    </row>
    <row r="37" spans="1:9" s="10" customFormat="1" ht="18" x14ac:dyDescent="0.25">
      <c r="A37" s="23">
        <v>34</v>
      </c>
      <c r="B37" s="24" t="s">
        <v>56</v>
      </c>
      <c r="C37" s="25">
        <v>10</v>
      </c>
      <c r="D37" s="25" t="s">
        <v>17</v>
      </c>
      <c r="E37" s="26"/>
      <c r="F37" s="27"/>
      <c r="H37" s="16"/>
      <c r="I37" s="18"/>
    </row>
    <row r="38" spans="1:9" s="10" customFormat="1" ht="18" x14ac:dyDescent="0.25">
      <c r="A38" s="23">
        <v>35</v>
      </c>
      <c r="B38" s="24" t="s">
        <v>57</v>
      </c>
      <c r="C38" s="25">
        <v>2</v>
      </c>
      <c r="D38" s="25" t="s">
        <v>17</v>
      </c>
      <c r="E38" s="26"/>
      <c r="F38" s="27"/>
      <c r="H38" s="16"/>
      <c r="I38" s="18"/>
    </row>
    <row r="39" spans="1:9" s="10" customFormat="1" ht="18" x14ac:dyDescent="0.25">
      <c r="A39" s="23">
        <v>36</v>
      </c>
      <c r="B39" s="24" t="s">
        <v>59</v>
      </c>
      <c r="C39" s="25">
        <v>2</v>
      </c>
      <c r="D39" s="25" t="s">
        <v>17</v>
      </c>
      <c r="E39" s="26"/>
      <c r="F39" s="27"/>
      <c r="H39" s="16"/>
      <c r="I39" s="18"/>
    </row>
    <row r="40" spans="1:9" s="10" customFormat="1" ht="18" x14ac:dyDescent="0.25">
      <c r="A40" s="23">
        <v>37</v>
      </c>
      <c r="B40" s="25" t="s">
        <v>58</v>
      </c>
      <c r="C40" s="25">
        <v>12</v>
      </c>
      <c r="D40" s="25" t="s">
        <v>18</v>
      </c>
      <c r="E40" s="26"/>
      <c r="F40" s="27"/>
      <c r="H40" s="16"/>
      <c r="I40" s="18"/>
    </row>
    <row r="41" spans="1:9" s="10" customFormat="1" ht="15.75" customHeight="1" x14ac:dyDescent="0.25">
      <c r="A41" s="30" t="s">
        <v>5</v>
      </c>
      <c r="B41" s="30"/>
      <c r="C41" s="30"/>
      <c r="D41" s="30"/>
      <c r="E41" s="30"/>
      <c r="F41" s="28">
        <f>SUM(F4:F40)</f>
        <v>0</v>
      </c>
    </row>
    <row r="42" spans="1:9" s="10" customFormat="1" ht="15.75" customHeight="1" x14ac:dyDescent="0.25">
      <c r="A42" s="31" t="s">
        <v>4</v>
      </c>
      <c r="B42" s="32"/>
      <c r="C42" s="32"/>
      <c r="D42" s="32"/>
      <c r="E42" s="33"/>
      <c r="F42" s="22"/>
    </row>
    <row r="43" spans="1:9" ht="18" x14ac:dyDescent="0.25">
      <c r="A43" s="40"/>
      <c r="B43" s="40"/>
      <c r="C43" s="40"/>
      <c r="D43" s="40"/>
      <c r="E43" s="40"/>
      <c r="F43" s="40"/>
    </row>
    <row r="44" spans="1:9" ht="18" x14ac:dyDescent="0.25">
      <c r="A44" s="29" t="s">
        <v>7</v>
      </c>
      <c r="B44" s="29"/>
      <c r="C44" s="29"/>
      <c r="D44" s="41"/>
      <c r="E44" s="42"/>
      <c r="F44" s="42"/>
    </row>
    <row r="45" spans="1:9" ht="18" x14ac:dyDescent="0.25">
      <c r="A45" s="29" t="s">
        <v>8</v>
      </c>
      <c r="B45" s="29"/>
      <c r="C45" s="29"/>
      <c r="D45" s="41"/>
      <c r="E45" s="42"/>
      <c r="F45" s="42"/>
    </row>
    <row r="46" spans="1:9" ht="18" x14ac:dyDescent="0.25">
      <c r="A46" s="29" t="s">
        <v>9</v>
      </c>
      <c r="B46" s="29"/>
      <c r="C46" s="29"/>
      <c r="D46" s="41"/>
      <c r="E46" s="42"/>
      <c r="F46" s="42"/>
    </row>
    <row r="47" spans="1:9" ht="18" x14ac:dyDescent="0.25">
      <c r="A47" s="29" t="s">
        <v>10</v>
      </c>
      <c r="B47" s="29"/>
      <c r="C47" s="29"/>
      <c r="D47" s="41"/>
      <c r="E47" s="42"/>
      <c r="F47" s="42"/>
    </row>
    <row r="48" spans="1:9" ht="18" x14ac:dyDescent="0.25">
      <c r="A48" s="29" t="s">
        <v>11</v>
      </c>
      <c r="B48" s="29"/>
      <c r="C48" s="29"/>
      <c r="D48" s="41"/>
      <c r="E48" s="42"/>
      <c r="F48" s="42"/>
    </row>
    <row r="49" spans="1:6" ht="18" x14ac:dyDescent="0.25">
      <c r="A49" s="39" t="s">
        <v>12</v>
      </c>
      <c r="B49" s="39"/>
      <c r="C49" s="39"/>
      <c r="D49" s="37">
        <f>SUM(D44:F48)</f>
        <v>0</v>
      </c>
      <c r="E49" s="38"/>
      <c r="F49" s="38"/>
    </row>
  </sheetData>
  <mergeCells count="17">
    <mergeCell ref="D49:F49"/>
    <mergeCell ref="A49:C49"/>
    <mergeCell ref="A43:F43"/>
    <mergeCell ref="D44:F44"/>
    <mergeCell ref="D45:F45"/>
    <mergeCell ref="D46:F46"/>
    <mergeCell ref="D47:F47"/>
    <mergeCell ref="D48:F48"/>
    <mergeCell ref="A44:C44"/>
    <mergeCell ref="A45:C45"/>
    <mergeCell ref="A46:C46"/>
    <mergeCell ref="A47:C47"/>
    <mergeCell ref="A48:C48"/>
    <mergeCell ref="A41:E41"/>
    <mergeCell ref="A42:E42"/>
    <mergeCell ref="A1:F1"/>
    <mergeCell ref="A2:F2"/>
  </mergeCells>
  <dataValidations count="1">
    <dataValidation allowBlank="1" sqref="E4:F40" xr:uid="{4C65AFB1-95D5-4A2C-83A9-B43D97F0C3DC}"/>
  </dataValidation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8A56-9E26-44D5-8E7C-48BC33BA36D7}">
  <dimension ref="A1:H42"/>
  <sheetViews>
    <sheetView zoomScale="115" zoomScaleNormal="115" workbookViewId="0">
      <selection activeCell="E21" sqref="E21"/>
    </sheetView>
  </sheetViews>
  <sheetFormatPr defaultRowHeight="15" x14ac:dyDescent="0.25"/>
  <cols>
    <col min="1" max="1" width="6" style="7" customWidth="1"/>
    <col min="2" max="2" width="55.5703125" style="7" customWidth="1"/>
    <col min="3" max="3" width="9.28515625" style="7" customWidth="1"/>
    <col min="4" max="4" width="8.42578125" style="7" customWidth="1"/>
    <col min="5" max="5" width="12.28515625" style="7" customWidth="1"/>
    <col min="6" max="6" width="18.28515625" style="7" customWidth="1"/>
    <col min="7" max="7" width="9.140625" style="7"/>
    <col min="8" max="8" width="10.140625" style="7" bestFit="1" customWidth="1"/>
    <col min="9" max="16384" width="9.140625" style="7"/>
  </cols>
  <sheetData>
    <row r="1" spans="1:8" s="8" customFormat="1" ht="12.75" x14ac:dyDescent="0.25">
      <c r="A1" s="48" t="s">
        <v>0</v>
      </c>
      <c r="B1" s="48"/>
      <c r="C1" s="48"/>
      <c r="D1" s="49"/>
      <c r="E1" s="49"/>
      <c r="F1" s="49"/>
    </row>
    <row r="2" spans="1:8" s="8" customFormat="1" ht="12.75" x14ac:dyDescent="0.25">
      <c r="A2" s="2" t="s">
        <v>1</v>
      </c>
      <c r="B2" s="3" t="s">
        <v>2</v>
      </c>
      <c r="C2" s="3" t="s">
        <v>13</v>
      </c>
      <c r="D2" s="2" t="s">
        <v>3</v>
      </c>
      <c r="E2" s="4" t="s">
        <v>14</v>
      </c>
      <c r="F2" s="5" t="s">
        <v>15</v>
      </c>
    </row>
    <row r="3" spans="1:8" s="8" customFormat="1" ht="12.75" x14ac:dyDescent="0.2">
      <c r="A3" s="1">
        <v>1001</v>
      </c>
      <c r="B3" s="12" t="s">
        <v>16</v>
      </c>
      <c r="C3" s="1">
        <v>270</v>
      </c>
      <c r="D3" s="1" t="s">
        <v>17</v>
      </c>
      <c r="E3" s="14"/>
      <c r="F3" s="14"/>
      <c r="H3" s="15"/>
    </row>
    <row r="4" spans="1:8" s="8" customFormat="1" ht="12.75" x14ac:dyDescent="0.2">
      <c r="A4" s="1">
        <v>1002</v>
      </c>
      <c r="B4" s="12" t="s">
        <v>21</v>
      </c>
      <c r="C4" s="1">
        <v>350</v>
      </c>
      <c r="D4" s="1" t="s">
        <v>17</v>
      </c>
      <c r="E4" s="14"/>
      <c r="F4" s="14"/>
      <c r="H4" s="15"/>
    </row>
    <row r="5" spans="1:8" s="8" customFormat="1" ht="12.75" x14ac:dyDescent="0.2">
      <c r="A5" s="1">
        <v>1003</v>
      </c>
      <c r="B5" s="12" t="s">
        <v>22</v>
      </c>
      <c r="C5" s="1">
        <v>350</v>
      </c>
      <c r="D5" s="1" t="s">
        <v>17</v>
      </c>
      <c r="E5" s="14"/>
      <c r="F5" s="14"/>
      <c r="H5" s="15"/>
    </row>
    <row r="6" spans="1:8" s="8" customFormat="1" ht="12.75" x14ac:dyDescent="0.2">
      <c r="A6" s="1">
        <v>1004</v>
      </c>
      <c r="B6" s="12" t="s">
        <v>23</v>
      </c>
      <c r="C6" s="1">
        <v>10</v>
      </c>
      <c r="D6" s="1" t="s">
        <v>17</v>
      </c>
      <c r="E6" s="14"/>
      <c r="F6" s="14"/>
      <c r="H6" s="15"/>
    </row>
    <row r="7" spans="1:8" s="8" customFormat="1" ht="12.75" x14ac:dyDescent="0.2">
      <c r="A7" s="1">
        <v>1005</v>
      </c>
      <c r="B7" s="12" t="s">
        <v>24</v>
      </c>
      <c r="C7" s="1">
        <v>2</v>
      </c>
      <c r="D7" s="1" t="s">
        <v>17</v>
      </c>
      <c r="E7" s="14"/>
      <c r="F7" s="14"/>
      <c r="H7" s="15"/>
    </row>
    <row r="8" spans="1:8" s="8" customFormat="1" ht="12.75" x14ac:dyDescent="0.2">
      <c r="A8" s="1">
        <v>1006</v>
      </c>
      <c r="B8" s="12" t="s">
        <v>25</v>
      </c>
      <c r="C8" s="1">
        <v>39</v>
      </c>
      <c r="D8" s="1" t="s">
        <v>17</v>
      </c>
      <c r="E8" s="14"/>
      <c r="F8" s="14"/>
      <c r="H8" s="15"/>
    </row>
    <row r="9" spans="1:8" s="8" customFormat="1" ht="12.75" x14ac:dyDescent="0.2">
      <c r="A9" s="1">
        <v>1007</v>
      </c>
      <c r="B9" s="12" t="s">
        <v>26</v>
      </c>
      <c r="C9" s="1">
        <v>39</v>
      </c>
      <c r="D9" s="1" t="s">
        <v>18</v>
      </c>
      <c r="E9" s="14"/>
      <c r="F9" s="14"/>
      <c r="H9" s="15"/>
    </row>
    <row r="10" spans="1:8" s="8" customFormat="1" ht="12.75" x14ac:dyDescent="0.2">
      <c r="A10" s="1">
        <v>1008</v>
      </c>
      <c r="B10" s="12" t="s">
        <v>27</v>
      </c>
      <c r="C10" s="1">
        <v>8</v>
      </c>
      <c r="D10" s="1" t="s">
        <v>19</v>
      </c>
      <c r="E10" s="14"/>
      <c r="F10" s="14"/>
      <c r="H10" s="15"/>
    </row>
    <row r="11" spans="1:8" s="8" customFormat="1" ht="25.5" x14ac:dyDescent="0.2">
      <c r="A11" s="1">
        <v>1009</v>
      </c>
      <c r="B11" s="12" t="s">
        <v>28</v>
      </c>
      <c r="C11" s="1">
        <v>3</v>
      </c>
      <c r="D11" s="1" t="s">
        <v>18</v>
      </c>
      <c r="E11" s="14"/>
      <c r="F11" s="14"/>
      <c r="H11" s="15"/>
    </row>
    <row r="12" spans="1:8" s="8" customFormat="1" ht="25.5" x14ac:dyDescent="0.2">
      <c r="A12" s="1">
        <v>1010</v>
      </c>
      <c r="B12" s="12" t="s">
        <v>29</v>
      </c>
      <c r="C12" s="1">
        <v>2</v>
      </c>
      <c r="D12" s="1" t="s">
        <v>18</v>
      </c>
      <c r="E12" s="14"/>
      <c r="F12" s="14"/>
      <c r="H12" s="15"/>
    </row>
    <row r="13" spans="1:8" s="8" customFormat="1" ht="25.5" x14ac:dyDescent="0.2">
      <c r="A13" s="1">
        <v>1011</v>
      </c>
      <c r="B13" s="12" t="s">
        <v>30</v>
      </c>
      <c r="C13" s="1">
        <v>2</v>
      </c>
      <c r="D13" s="1" t="s">
        <v>18</v>
      </c>
      <c r="E13" s="14"/>
      <c r="F13" s="14"/>
      <c r="H13" s="15"/>
    </row>
    <row r="14" spans="1:8" s="8" customFormat="1" ht="25.5" x14ac:dyDescent="0.2">
      <c r="A14" s="1">
        <v>1012</v>
      </c>
      <c r="B14" s="12" t="s">
        <v>31</v>
      </c>
      <c r="C14" s="1">
        <v>1</v>
      </c>
      <c r="D14" s="1" t="s">
        <v>18</v>
      </c>
      <c r="E14" s="14"/>
      <c r="F14" s="14"/>
      <c r="H14" s="15"/>
    </row>
    <row r="15" spans="1:8" s="8" customFormat="1" ht="12.75" x14ac:dyDescent="0.2">
      <c r="A15" s="1">
        <v>1013</v>
      </c>
      <c r="B15" s="12" t="s">
        <v>32</v>
      </c>
      <c r="C15" s="1">
        <v>1</v>
      </c>
      <c r="D15" s="1" t="s">
        <v>18</v>
      </c>
      <c r="E15" s="14"/>
      <c r="F15" s="14"/>
      <c r="H15" s="15"/>
    </row>
    <row r="16" spans="1:8" s="8" customFormat="1" ht="12.75" x14ac:dyDescent="0.2">
      <c r="A16" s="1">
        <v>1014</v>
      </c>
      <c r="B16" s="12" t="s">
        <v>37</v>
      </c>
      <c r="C16" s="1">
        <v>0</v>
      </c>
      <c r="D16" s="1" t="s">
        <v>18</v>
      </c>
      <c r="E16" s="14"/>
      <c r="F16" s="14"/>
      <c r="H16" s="15"/>
    </row>
    <row r="17" spans="1:8" s="8" customFormat="1" ht="25.5" x14ac:dyDescent="0.2">
      <c r="A17" s="1">
        <v>1015</v>
      </c>
      <c r="B17" s="12" t="s">
        <v>33</v>
      </c>
      <c r="C17" s="1">
        <v>1</v>
      </c>
      <c r="D17" s="1" t="s">
        <v>18</v>
      </c>
      <c r="E17" s="14"/>
      <c r="F17" s="14"/>
      <c r="H17" s="15"/>
    </row>
    <row r="18" spans="1:8" s="8" customFormat="1" ht="12.75" x14ac:dyDescent="0.2">
      <c r="A18" s="1">
        <v>1016</v>
      </c>
      <c r="B18" s="12" t="s">
        <v>34</v>
      </c>
      <c r="C18" s="1">
        <v>10</v>
      </c>
      <c r="D18" s="1" t="s">
        <v>18</v>
      </c>
      <c r="E18" s="14"/>
      <c r="F18" s="14"/>
      <c r="H18" s="15"/>
    </row>
    <row r="19" spans="1:8" s="8" customFormat="1" ht="25.5" x14ac:dyDescent="0.2">
      <c r="A19" s="1">
        <v>1017</v>
      </c>
      <c r="B19" s="12" t="s">
        <v>35</v>
      </c>
      <c r="C19" s="1">
        <v>1</v>
      </c>
      <c r="D19" s="1" t="s">
        <v>18</v>
      </c>
      <c r="E19" s="14"/>
      <c r="F19" s="14"/>
      <c r="H19" s="15"/>
    </row>
    <row r="20" spans="1:8" s="8" customFormat="1" ht="25.5" x14ac:dyDescent="0.2">
      <c r="A20" s="1">
        <v>1018</v>
      </c>
      <c r="B20" s="12" t="s">
        <v>36</v>
      </c>
      <c r="C20" s="1">
        <v>2</v>
      </c>
      <c r="D20" s="1" t="s">
        <v>18</v>
      </c>
      <c r="E20" s="14"/>
      <c r="F20" s="14"/>
      <c r="H20" s="15"/>
    </row>
    <row r="21" spans="1:8" s="8" customFormat="1" ht="25.5" x14ac:dyDescent="0.2">
      <c r="A21" s="1">
        <v>1019</v>
      </c>
      <c r="B21" s="12" t="s">
        <v>40</v>
      </c>
      <c r="C21" s="1">
        <v>7</v>
      </c>
      <c r="D21" s="1" t="s">
        <v>19</v>
      </c>
      <c r="E21" s="14"/>
      <c r="F21" s="14"/>
      <c r="H21" s="15"/>
    </row>
    <row r="22" spans="1:8" s="8" customFormat="1" ht="12.75" x14ac:dyDescent="0.2">
      <c r="A22" s="1">
        <v>1020</v>
      </c>
      <c r="B22" s="12" t="s">
        <v>41</v>
      </c>
      <c r="C22" s="1">
        <v>2</v>
      </c>
      <c r="D22" s="1" t="s">
        <v>18</v>
      </c>
      <c r="E22" s="14"/>
      <c r="F22" s="14"/>
      <c r="H22" s="15"/>
    </row>
    <row r="23" spans="1:8" s="8" customFormat="1" ht="12.75" x14ac:dyDescent="0.2">
      <c r="A23" s="1">
        <v>1021</v>
      </c>
      <c r="B23" s="12" t="s">
        <v>54</v>
      </c>
      <c r="C23" s="1">
        <v>2</v>
      </c>
      <c r="D23" s="1" t="s">
        <v>18</v>
      </c>
      <c r="E23" s="14"/>
      <c r="F23" s="14"/>
      <c r="H23" s="15"/>
    </row>
    <row r="24" spans="1:8" s="8" customFormat="1" ht="12.75" x14ac:dyDescent="0.2">
      <c r="A24" s="1">
        <v>1022</v>
      </c>
      <c r="B24" s="12" t="s">
        <v>42</v>
      </c>
      <c r="C24" s="1">
        <v>8</v>
      </c>
      <c r="D24" s="1" t="s">
        <v>19</v>
      </c>
      <c r="E24" s="14"/>
      <c r="F24" s="14"/>
      <c r="H24" s="15"/>
    </row>
    <row r="25" spans="1:8" s="8" customFormat="1" ht="12.75" x14ac:dyDescent="0.2">
      <c r="A25" s="1">
        <v>1023</v>
      </c>
      <c r="B25" s="12" t="s">
        <v>53</v>
      </c>
      <c r="C25" s="1">
        <v>1</v>
      </c>
      <c r="D25" s="1" t="s">
        <v>17</v>
      </c>
      <c r="E25" s="14"/>
      <c r="F25" s="14"/>
      <c r="H25" s="15"/>
    </row>
    <row r="26" spans="1:8" s="8" customFormat="1" ht="12.75" x14ac:dyDescent="0.2">
      <c r="A26" s="1">
        <v>1024</v>
      </c>
      <c r="B26" s="12" t="s">
        <v>43</v>
      </c>
      <c r="C26" s="1">
        <v>15</v>
      </c>
      <c r="D26" s="1" t="s">
        <v>17</v>
      </c>
      <c r="E26" s="14"/>
      <c r="F26" s="14"/>
      <c r="H26" s="15"/>
    </row>
    <row r="27" spans="1:8" s="8" customFormat="1" ht="12.75" x14ac:dyDescent="0.2">
      <c r="A27" s="1">
        <v>1025</v>
      </c>
      <c r="B27" s="12" t="s">
        <v>44</v>
      </c>
      <c r="C27" s="1">
        <v>600</v>
      </c>
      <c r="D27" s="1" t="s">
        <v>20</v>
      </c>
      <c r="E27" s="14"/>
      <c r="F27" s="14"/>
      <c r="H27" s="15"/>
    </row>
    <row r="28" spans="1:8" s="8" customFormat="1" ht="12.75" x14ac:dyDescent="0.2">
      <c r="A28" s="1">
        <v>1026</v>
      </c>
      <c r="B28" s="12" t="s">
        <v>45</v>
      </c>
      <c r="C28" s="1">
        <v>2</v>
      </c>
      <c r="D28" s="1" t="s">
        <v>17</v>
      </c>
      <c r="E28" s="14"/>
      <c r="F28" s="14"/>
      <c r="H28" s="15"/>
    </row>
    <row r="29" spans="1:8" s="8" customFormat="1" ht="12.75" x14ac:dyDescent="0.2">
      <c r="A29" s="1">
        <v>1027</v>
      </c>
      <c r="B29" s="12" t="s">
        <v>46</v>
      </c>
      <c r="C29" s="1">
        <v>8</v>
      </c>
      <c r="D29" s="1" t="s">
        <v>19</v>
      </c>
      <c r="E29" s="14"/>
      <c r="F29" s="14"/>
      <c r="H29" s="15"/>
    </row>
    <row r="30" spans="1:8" s="8" customFormat="1" ht="12.75" x14ac:dyDescent="0.2">
      <c r="A30" s="1">
        <v>1028</v>
      </c>
      <c r="B30" s="12" t="s">
        <v>47</v>
      </c>
      <c r="C30" s="1">
        <v>12</v>
      </c>
      <c r="D30" s="1" t="s">
        <v>19</v>
      </c>
      <c r="E30" s="14"/>
      <c r="F30" s="14"/>
      <c r="H30" s="15"/>
    </row>
    <row r="31" spans="1:8" s="8" customFormat="1" ht="12.75" x14ac:dyDescent="0.2">
      <c r="A31" s="1">
        <v>1029</v>
      </c>
      <c r="B31" s="12" t="s">
        <v>48</v>
      </c>
      <c r="C31" s="1">
        <v>12</v>
      </c>
      <c r="D31" s="1" t="s">
        <v>19</v>
      </c>
      <c r="E31" s="14"/>
      <c r="F31" s="14"/>
      <c r="H31" s="15"/>
    </row>
    <row r="32" spans="1:8" s="8" customFormat="1" ht="12.75" x14ac:dyDescent="0.2">
      <c r="A32" s="1">
        <v>1030</v>
      </c>
      <c r="B32" s="12" t="s">
        <v>49</v>
      </c>
      <c r="C32" s="1">
        <v>2</v>
      </c>
      <c r="D32" s="1" t="s">
        <v>18</v>
      </c>
      <c r="E32" s="14"/>
      <c r="F32" s="14"/>
      <c r="H32" s="15"/>
    </row>
    <row r="33" spans="1:8" s="8" customFormat="1" ht="25.5" x14ac:dyDescent="0.2">
      <c r="A33" s="1">
        <v>1031</v>
      </c>
      <c r="B33" s="12" t="s">
        <v>50</v>
      </c>
      <c r="C33" s="1">
        <v>8</v>
      </c>
      <c r="D33" s="1" t="s">
        <v>19</v>
      </c>
      <c r="E33" s="14"/>
      <c r="F33" s="14"/>
      <c r="H33" s="15"/>
    </row>
    <row r="34" spans="1:8" s="8" customFormat="1" ht="25.5" x14ac:dyDescent="0.2">
      <c r="A34" s="1">
        <v>1032</v>
      </c>
      <c r="B34" s="12" t="s">
        <v>51</v>
      </c>
      <c r="C34" s="1">
        <v>24</v>
      </c>
      <c r="D34" s="1" t="s">
        <v>18</v>
      </c>
      <c r="E34" s="14"/>
      <c r="F34" s="14"/>
      <c r="H34" s="15"/>
    </row>
    <row r="35" spans="1:8" s="8" customFormat="1" ht="12.75" x14ac:dyDescent="0.2">
      <c r="A35" s="1">
        <v>1033</v>
      </c>
      <c r="B35" s="12" t="s">
        <v>52</v>
      </c>
      <c r="C35" s="1">
        <v>2095</v>
      </c>
      <c r="D35" s="1" t="s">
        <v>17</v>
      </c>
      <c r="E35" s="14"/>
      <c r="F35" s="14"/>
      <c r="H35" s="15"/>
    </row>
    <row r="36" spans="1:8" s="8" customFormat="1" ht="12.75" x14ac:dyDescent="0.2">
      <c r="A36" s="17">
        <v>1034</v>
      </c>
      <c r="B36" s="12" t="s">
        <v>56</v>
      </c>
      <c r="C36" s="11">
        <v>10</v>
      </c>
      <c r="D36" s="11" t="s">
        <v>17</v>
      </c>
      <c r="E36" s="19"/>
      <c r="F36" s="13"/>
      <c r="H36" s="15"/>
    </row>
    <row r="37" spans="1:8" s="8" customFormat="1" ht="12.75" x14ac:dyDescent="0.2">
      <c r="A37" s="17">
        <v>1035</v>
      </c>
      <c r="B37" s="12" t="s">
        <v>57</v>
      </c>
      <c r="C37" s="11">
        <v>2</v>
      </c>
      <c r="D37" s="11" t="s">
        <v>17</v>
      </c>
      <c r="E37" s="19"/>
      <c r="F37" s="13"/>
      <c r="H37" s="15"/>
    </row>
    <row r="38" spans="1:8" s="8" customFormat="1" ht="12.75" x14ac:dyDescent="0.2">
      <c r="A38" s="17">
        <v>1036</v>
      </c>
      <c r="B38" s="12" t="s">
        <v>59</v>
      </c>
      <c r="C38" s="11">
        <v>2</v>
      </c>
      <c r="D38" s="11" t="s">
        <v>17</v>
      </c>
      <c r="E38" s="19"/>
      <c r="F38" s="13"/>
      <c r="H38" s="15"/>
    </row>
    <row r="39" spans="1:8" s="8" customFormat="1" ht="12.75" x14ac:dyDescent="0.25">
      <c r="A39" s="17">
        <v>1037</v>
      </c>
      <c r="B39" s="11" t="s">
        <v>58</v>
      </c>
      <c r="C39" s="11">
        <v>12</v>
      </c>
      <c r="D39" s="11" t="s">
        <v>18</v>
      </c>
      <c r="E39" s="19"/>
      <c r="F39" s="13"/>
      <c r="H39" s="15"/>
    </row>
    <row r="40" spans="1:8" s="8" customFormat="1" ht="15.75" customHeight="1" x14ac:dyDescent="0.2">
      <c r="A40" s="47" t="s">
        <v>5</v>
      </c>
      <c r="B40" s="47"/>
      <c r="C40" s="47"/>
      <c r="D40" s="47"/>
      <c r="E40" s="47"/>
      <c r="F40" s="6">
        <f>SUM(F3:F39)</f>
        <v>0</v>
      </c>
    </row>
    <row r="41" spans="1:8" s="8" customFormat="1" ht="15.75" customHeight="1" x14ac:dyDescent="0.25">
      <c r="A41" s="43" t="s">
        <v>4</v>
      </c>
      <c r="B41" s="44"/>
      <c r="C41" s="44"/>
      <c r="D41" s="44"/>
      <c r="E41" s="45"/>
      <c r="F41" s="4" t="e">
        <f>SUM(#REF!+F40)</f>
        <v>#REF!</v>
      </c>
    </row>
    <row r="42" spans="1:8" s="8" customFormat="1" ht="15" customHeight="1" x14ac:dyDescent="0.25">
      <c r="A42" s="46"/>
      <c r="B42" s="46"/>
      <c r="C42" s="46"/>
      <c r="D42" s="46"/>
      <c r="E42" s="46"/>
      <c r="F42" s="46"/>
    </row>
  </sheetData>
  <mergeCells count="4">
    <mergeCell ref="A41:E41"/>
    <mergeCell ref="A42:F42"/>
    <mergeCell ref="A40:E40"/>
    <mergeCell ref="A1:F1"/>
  </mergeCells>
  <dataValidations count="1">
    <dataValidation allowBlank="1" sqref="E3:E35 E36:F39" xr:uid="{CED8E138-BCD7-42DE-94F0-1EBCE08184FB}"/>
  </dataValidation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1F51-95B0-4AF9-8540-515EE5221FB0}">
  <dimension ref="A1:H42"/>
  <sheetViews>
    <sheetView topLeftCell="A17" zoomScale="140" zoomScaleNormal="140" workbookViewId="0">
      <selection activeCell="B18" sqref="B18"/>
    </sheetView>
  </sheetViews>
  <sheetFormatPr defaultRowHeight="15" x14ac:dyDescent="0.25"/>
  <cols>
    <col min="1" max="1" width="6" style="7" customWidth="1"/>
    <col min="2" max="2" width="55.5703125" style="7" customWidth="1"/>
    <col min="3" max="3" width="9.28515625" style="7" customWidth="1"/>
    <col min="4" max="4" width="8.42578125" style="7" customWidth="1"/>
    <col min="5" max="5" width="12.28515625" style="7" customWidth="1"/>
    <col min="6" max="6" width="18.28515625" style="7" customWidth="1"/>
    <col min="7" max="7" width="9.140625" style="7"/>
    <col min="8" max="8" width="10.140625" style="7" bestFit="1" customWidth="1"/>
    <col min="9" max="16384" width="9.140625" style="7"/>
  </cols>
  <sheetData>
    <row r="1" spans="1:8" s="8" customFormat="1" ht="12.75" x14ac:dyDescent="0.25">
      <c r="A1" s="48" t="s">
        <v>0</v>
      </c>
      <c r="B1" s="48"/>
      <c r="C1" s="48"/>
      <c r="D1" s="49"/>
      <c r="E1" s="49"/>
      <c r="F1" s="49"/>
    </row>
    <row r="2" spans="1:8" s="8" customFormat="1" ht="12.75" x14ac:dyDescent="0.25">
      <c r="A2" s="2" t="s">
        <v>1</v>
      </c>
      <c r="B2" s="3" t="s">
        <v>2</v>
      </c>
      <c r="C2" s="3" t="s">
        <v>13</v>
      </c>
      <c r="D2" s="2" t="s">
        <v>3</v>
      </c>
      <c r="E2" s="4" t="s">
        <v>14</v>
      </c>
      <c r="F2" s="5" t="s">
        <v>15</v>
      </c>
    </row>
    <row r="3" spans="1:8" s="8" customFormat="1" ht="12.75" x14ac:dyDescent="0.2">
      <c r="A3" s="1">
        <v>2001</v>
      </c>
      <c r="B3" s="12" t="s">
        <v>16</v>
      </c>
      <c r="C3" s="1">
        <v>270</v>
      </c>
      <c r="D3" s="1" t="s">
        <v>17</v>
      </c>
      <c r="E3" s="20"/>
      <c r="F3" s="14"/>
      <c r="H3" s="15"/>
    </row>
    <row r="4" spans="1:8" s="8" customFormat="1" ht="12.75" x14ac:dyDescent="0.2">
      <c r="A4" s="1">
        <v>2002</v>
      </c>
      <c r="B4" s="12" t="s">
        <v>21</v>
      </c>
      <c r="C4" s="1">
        <v>350</v>
      </c>
      <c r="D4" s="1" t="s">
        <v>17</v>
      </c>
      <c r="E4" s="20"/>
      <c r="F4" s="14"/>
      <c r="H4" s="15"/>
    </row>
    <row r="5" spans="1:8" s="8" customFormat="1" ht="12.75" x14ac:dyDescent="0.2">
      <c r="A5" s="1">
        <v>2003</v>
      </c>
      <c r="B5" s="12" t="s">
        <v>22</v>
      </c>
      <c r="C5" s="1">
        <v>350</v>
      </c>
      <c r="D5" s="1" t="s">
        <v>17</v>
      </c>
      <c r="E5" s="20"/>
      <c r="F5" s="14"/>
      <c r="H5" s="15"/>
    </row>
    <row r="6" spans="1:8" s="8" customFormat="1" ht="12.75" x14ac:dyDescent="0.2">
      <c r="A6" s="1">
        <v>2004</v>
      </c>
      <c r="B6" s="12" t="s">
        <v>23</v>
      </c>
      <c r="C6" s="1">
        <v>10</v>
      </c>
      <c r="D6" s="1" t="s">
        <v>17</v>
      </c>
      <c r="E6" s="20"/>
      <c r="F6" s="14"/>
      <c r="H6" s="15"/>
    </row>
    <row r="7" spans="1:8" s="8" customFormat="1" ht="12.75" x14ac:dyDescent="0.2">
      <c r="A7" s="1">
        <v>2005</v>
      </c>
      <c r="B7" s="12" t="s">
        <v>24</v>
      </c>
      <c r="C7" s="1">
        <v>2</v>
      </c>
      <c r="D7" s="1" t="s">
        <v>17</v>
      </c>
      <c r="E7" s="20"/>
      <c r="F7" s="14"/>
      <c r="H7" s="15"/>
    </row>
    <row r="8" spans="1:8" s="8" customFormat="1" ht="12.75" x14ac:dyDescent="0.2">
      <c r="A8" s="1">
        <v>2006</v>
      </c>
      <c r="B8" s="12" t="s">
        <v>25</v>
      </c>
      <c r="C8" s="1">
        <v>39</v>
      </c>
      <c r="D8" s="1" t="s">
        <v>17</v>
      </c>
      <c r="E8" s="20"/>
      <c r="F8" s="14"/>
      <c r="H8" s="15"/>
    </row>
    <row r="9" spans="1:8" s="8" customFormat="1" ht="12.75" x14ac:dyDescent="0.2">
      <c r="A9" s="1">
        <v>2007</v>
      </c>
      <c r="B9" s="12" t="s">
        <v>26</v>
      </c>
      <c r="C9" s="1">
        <v>39</v>
      </c>
      <c r="D9" s="1" t="s">
        <v>18</v>
      </c>
      <c r="E9" s="20"/>
      <c r="F9" s="14"/>
      <c r="H9" s="15"/>
    </row>
    <row r="10" spans="1:8" s="8" customFormat="1" ht="12.75" x14ac:dyDescent="0.2">
      <c r="A10" s="1">
        <v>2008</v>
      </c>
      <c r="B10" s="12" t="s">
        <v>27</v>
      </c>
      <c r="C10" s="1">
        <v>8</v>
      </c>
      <c r="D10" s="1" t="s">
        <v>19</v>
      </c>
      <c r="E10" s="20"/>
      <c r="F10" s="14"/>
      <c r="H10" s="15"/>
    </row>
    <row r="11" spans="1:8" s="8" customFormat="1" ht="25.5" x14ac:dyDescent="0.2">
      <c r="A11" s="1">
        <v>2009</v>
      </c>
      <c r="B11" s="12" t="s">
        <v>28</v>
      </c>
      <c r="C11" s="1">
        <v>3</v>
      </c>
      <c r="D11" s="1" t="s">
        <v>18</v>
      </c>
      <c r="E11" s="20"/>
      <c r="F11" s="14"/>
      <c r="H11" s="15"/>
    </row>
    <row r="12" spans="1:8" s="8" customFormat="1" ht="25.5" x14ac:dyDescent="0.2">
      <c r="A12" s="1">
        <v>2010</v>
      </c>
      <c r="B12" s="12" t="s">
        <v>29</v>
      </c>
      <c r="C12" s="1">
        <v>2</v>
      </c>
      <c r="D12" s="1" t="s">
        <v>18</v>
      </c>
      <c r="E12" s="20"/>
      <c r="F12" s="14"/>
      <c r="H12" s="15"/>
    </row>
    <row r="13" spans="1:8" s="8" customFormat="1" ht="25.5" x14ac:dyDescent="0.2">
      <c r="A13" s="1">
        <v>2011</v>
      </c>
      <c r="B13" s="12" t="s">
        <v>30</v>
      </c>
      <c r="C13" s="1">
        <v>2</v>
      </c>
      <c r="D13" s="1" t="s">
        <v>18</v>
      </c>
      <c r="E13" s="20"/>
      <c r="F13" s="14"/>
      <c r="H13" s="15"/>
    </row>
    <row r="14" spans="1:8" s="8" customFormat="1" ht="25.5" x14ac:dyDescent="0.2">
      <c r="A14" s="1">
        <v>2012</v>
      </c>
      <c r="B14" s="12" t="s">
        <v>31</v>
      </c>
      <c r="C14" s="1">
        <v>1</v>
      </c>
      <c r="D14" s="1" t="s">
        <v>18</v>
      </c>
      <c r="E14" s="20"/>
      <c r="F14" s="14"/>
      <c r="H14" s="15"/>
    </row>
    <row r="15" spans="1:8" s="8" customFormat="1" ht="12.75" x14ac:dyDescent="0.2">
      <c r="A15" s="1">
        <v>2013</v>
      </c>
      <c r="B15" s="12" t="s">
        <v>32</v>
      </c>
      <c r="C15" s="1">
        <v>1</v>
      </c>
      <c r="D15" s="1" t="s">
        <v>18</v>
      </c>
      <c r="E15" s="20"/>
      <c r="F15" s="14"/>
      <c r="H15" s="15"/>
    </row>
    <row r="16" spans="1:8" s="8" customFormat="1" ht="12.75" x14ac:dyDescent="0.2">
      <c r="A16" s="1">
        <v>2014</v>
      </c>
      <c r="B16" s="12" t="s">
        <v>37</v>
      </c>
      <c r="C16" s="1">
        <v>0</v>
      </c>
      <c r="D16" s="1" t="s">
        <v>18</v>
      </c>
      <c r="E16" s="20"/>
      <c r="F16" s="14"/>
      <c r="H16" s="15"/>
    </row>
    <row r="17" spans="1:8" s="8" customFormat="1" ht="25.5" x14ac:dyDescent="0.2">
      <c r="A17" s="1">
        <v>2015</v>
      </c>
      <c r="B17" s="12" t="s">
        <v>33</v>
      </c>
      <c r="C17" s="1">
        <v>1</v>
      </c>
      <c r="D17" s="1" t="s">
        <v>18</v>
      </c>
      <c r="E17" s="20"/>
      <c r="F17" s="14"/>
      <c r="H17" s="15"/>
    </row>
    <row r="18" spans="1:8" s="8" customFormat="1" ht="12.75" x14ac:dyDescent="0.2">
      <c r="A18" s="1">
        <v>2016</v>
      </c>
      <c r="B18" s="12" t="s">
        <v>34</v>
      </c>
      <c r="C18" s="1">
        <v>10</v>
      </c>
      <c r="D18" s="1" t="s">
        <v>18</v>
      </c>
      <c r="E18" s="20"/>
      <c r="F18" s="14"/>
      <c r="H18" s="15"/>
    </row>
    <row r="19" spans="1:8" s="8" customFormat="1" ht="25.5" x14ac:dyDescent="0.2">
      <c r="A19" s="1">
        <v>2017</v>
      </c>
      <c r="B19" s="12" t="s">
        <v>35</v>
      </c>
      <c r="C19" s="1">
        <v>1</v>
      </c>
      <c r="D19" s="1" t="s">
        <v>18</v>
      </c>
      <c r="E19" s="20"/>
      <c r="F19" s="14"/>
      <c r="H19" s="15"/>
    </row>
    <row r="20" spans="1:8" s="8" customFormat="1" ht="25.5" x14ac:dyDescent="0.2">
      <c r="A20" s="1">
        <v>2018</v>
      </c>
      <c r="B20" s="12" t="s">
        <v>36</v>
      </c>
      <c r="C20" s="1">
        <v>2</v>
      </c>
      <c r="D20" s="1" t="s">
        <v>18</v>
      </c>
      <c r="E20" s="20"/>
      <c r="F20" s="14"/>
      <c r="H20" s="15"/>
    </row>
    <row r="21" spans="1:8" s="8" customFormat="1" ht="25.5" x14ac:dyDescent="0.2">
      <c r="A21" s="1">
        <v>2019</v>
      </c>
      <c r="B21" s="12" t="s">
        <v>40</v>
      </c>
      <c r="C21" s="1">
        <v>7</v>
      </c>
      <c r="D21" s="1" t="s">
        <v>19</v>
      </c>
      <c r="E21" s="20"/>
      <c r="F21" s="14"/>
      <c r="H21" s="15"/>
    </row>
    <row r="22" spans="1:8" s="8" customFormat="1" ht="12.75" x14ac:dyDescent="0.2">
      <c r="A22" s="1">
        <v>2020</v>
      </c>
      <c r="B22" s="12" t="s">
        <v>41</v>
      </c>
      <c r="C22" s="1">
        <v>2</v>
      </c>
      <c r="D22" s="1" t="s">
        <v>18</v>
      </c>
      <c r="E22" s="20"/>
      <c r="F22" s="14"/>
      <c r="H22" s="15"/>
    </row>
    <row r="23" spans="1:8" s="8" customFormat="1" ht="12.75" x14ac:dyDescent="0.2">
      <c r="A23" s="1">
        <v>2021</v>
      </c>
      <c r="B23" s="12" t="s">
        <v>54</v>
      </c>
      <c r="C23" s="1">
        <v>2</v>
      </c>
      <c r="D23" s="1" t="s">
        <v>18</v>
      </c>
      <c r="E23" s="20"/>
      <c r="F23" s="14"/>
      <c r="H23" s="15"/>
    </row>
    <row r="24" spans="1:8" s="8" customFormat="1" ht="12.75" x14ac:dyDescent="0.2">
      <c r="A24" s="1">
        <v>2022</v>
      </c>
      <c r="B24" s="12" t="s">
        <v>42</v>
      </c>
      <c r="C24" s="1">
        <v>8</v>
      </c>
      <c r="D24" s="1" t="s">
        <v>19</v>
      </c>
      <c r="E24" s="20"/>
      <c r="F24" s="14"/>
      <c r="H24" s="15"/>
    </row>
    <row r="25" spans="1:8" s="8" customFormat="1" ht="12.75" x14ac:dyDescent="0.2">
      <c r="A25" s="1">
        <v>2023</v>
      </c>
      <c r="B25" s="12" t="s">
        <v>53</v>
      </c>
      <c r="C25" s="1">
        <v>1</v>
      </c>
      <c r="D25" s="1" t="s">
        <v>17</v>
      </c>
      <c r="E25" s="20"/>
      <c r="F25" s="14"/>
      <c r="H25" s="15"/>
    </row>
    <row r="26" spans="1:8" s="8" customFormat="1" ht="12.75" x14ac:dyDescent="0.2">
      <c r="A26" s="1">
        <v>2024</v>
      </c>
      <c r="B26" s="12" t="s">
        <v>43</v>
      </c>
      <c r="C26" s="1">
        <v>15</v>
      </c>
      <c r="D26" s="1" t="s">
        <v>17</v>
      </c>
      <c r="E26" s="20"/>
      <c r="F26" s="14"/>
      <c r="H26" s="15"/>
    </row>
    <row r="27" spans="1:8" s="8" customFormat="1" ht="12.75" x14ac:dyDescent="0.2">
      <c r="A27" s="1">
        <v>2025</v>
      </c>
      <c r="B27" s="12" t="s">
        <v>44</v>
      </c>
      <c r="C27" s="1">
        <v>600</v>
      </c>
      <c r="D27" s="1" t="s">
        <v>20</v>
      </c>
      <c r="E27" s="20"/>
      <c r="F27" s="14"/>
      <c r="H27" s="15"/>
    </row>
    <row r="28" spans="1:8" s="8" customFormat="1" ht="12.75" x14ac:dyDescent="0.2">
      <c r="A28" s="1">
        <v>2026</v>
      </c>
      <c r="B28" s="12" t="s">
        <v>45</v>
      </c>
      <c r="C28" s="1">
        <v>2</v>
      </c>
      <c r="D28" s="1" t="s">
        <v>17</v>
      </c>
      <c r="E28" s="20"/>
      <c r="F28" s="14"/>
      <c r="H28" s="15"/>
    </row>
    <row r="29" spans="1:8" s="8" customFormat="1" ht="12.75" x14ac:dyDescent="0.2">
      <c r="A29" s="1">
        <v>2027</v>
      </c>
      <c r="B29" s="12" t="s">
        <v>46</v>
      </c>
      <c r="C29" s="1">
        <v>8</v>
      </c>
      <c r="D29" s="1" t="s">
        <v>19</v>
      </c>
      <c r="E29" s="20"/>
      <c r="F29" s="14"/>
      <c r="H29" s="15"/>
    </row>
    <row r="30" spans="1:8" s="8" customFormat="1" ht="12.75" x14ac:dyDescent="0.2">
      <c r="A30" s="1">
        <v>2028</v>
      </c>
      <c r="B30" s="12" t="s">
        <v>47</v>
      </c>
      <c r="C30" s="1">
        <v>12</v>
      </c>
      <c r="D30" s="1" t="s">
        <v>19</v>
      </c>
      <c r="E30" s="20"/>
      <c r="F30" s="14"/>
      <c r="H30" s="15"/>
    </row>
    <row r="31" spans="1:8" s="8" customFormat="1" ht="12.75" x14ac:dyDescent="0.2">
      <c r="A31" s="1">
        <v>2029</v>
      </c>
      <c r="B31" s="12" t="s">
        <v>48</v>
      </c>
      <c r="C31" s="1">
        <v>12</v>
      </c>
      <c r="D31" s="1" t="s">
        <v>19</v>
      </c>
      <c r="E31" s="20"/>
      <c r="F31" s="14"/>
      <c r="H31" s="15"/>
    </row>
    <row r="32" spans="1:8" s="8" customFormat="1" ht="12.75" x14ac:dyDescent="0.2">
      <c r="A32" s="1">
        <v>2030</v>
      </c>
      <c r="B32" s="12" t="s">
        <v>49</v>
      </c>
      <c r="C32" s="1">
        <v>2</v>
      </c>
      <c r="D32" s="1" t="s">
        <v>18</v>
      </c>
      <c r="E32" s="20"/>
      <c r="F32" s="14"/>
      <c r="H32" s="15"/>
    </row>
    <row r="33" spans="1:8" s="8" customFormat="1" ht="25.5" x14ac:dyDescent="0.2">
      <c r="A33" s="1">
        <v>2031</v>
      </c>
      <c r="B33" s="12" t="s">
        <v>50</v>
      </c>
      <c r="C33" s="1">
        <v>8</v>
      </c>
      <c r="D33" s="1" t="s">
        <v>19</v>
      </c>
      <c r="E33" s="20"/>
      <c r="F33" s="14"/>
      <c r="H33" s="15"/>
    </row>
    <row r="34" spans="1:8" s="8" customFormat="1" ht="25.5" x14ac:dyDescent="0.2">
      <c r="A34" s="1">
        <v>2032</v>
      </c>
      <c r="B34" s="12" t="s">
        <v>51</v>
      </c>
      <c r="C34" s="1">
        <v>24</v>
      </c>
      <c r="D34" s="1" t="s">
        <v>18</v>
      </c>
      <c r="E34" s="20"/>
      <c r="F34" s="14"/>
      <c r="H34" s="15"/>
    </row>
    <row r="35" spans="1:8" s="8" customFormat="1" ht="12.75" x14ac:dyDescent="0.2">
      <c r="A35" s="1">
        <v>2033</v>
      </c>
      <c r="B35" s="12" t="s">
        <v>52</v>
      </c>
      <c r="C35" s="1">
        <v>2095</v>
      </c>
      <c r="D35" s="1" t="s">
        <v>17</v>
      </c>
      <c r="E35" s="20"/>
      <c r="F35" s="14"/>
      <c r="H35" s="15"/>
    </row>
    <row r="36" spans="1:8" s="8" customFormat="1" ht="12.75" x14ac:dyDescent="0.2">
      <c r="A36" s="17">
        <v>2034</v>
      </c>
      <c r="B36" s="12" t="s">
        <v>56</v>
      </c>
      <c r="C36" s="11">
        <v>10</v>
      </c>
      <c r="D36" s="11" t="s">
        <v>17</v>
      </c>
      <c r="E36" s="20"/>
      <c r="F36" s="14"/>
      <c r="H36" s="15"/>
    </row>
    <row r="37" spans="1:8" s="8" customFormat="1" ht="12.75" x14ac:dyDescent="0.2">
      <c r="A37" s="17">
        <v>2035</v>
      </c>
      <c r="B37" s="12" t="s">
        <v>57</v>
      </c>
      <c r="C37" s="11">
        <v>2</v>
      </c>
      <c r="D37" s="11" t="s">
        <v>17</v>
      </c>
      <c r="E37" s="20"/>
      <c r="F37" s="14"/>
      <c r="H37" s="15"/>
    </row>
    <row r="38" spans="1:8" s="8" customFormat="1" ht="12.75" x14ac:dyDescent="0.2">
      <c r="A38" s="17">
        <v>2036</v>
      </c>
      <c r="B38" s="12" t="s">
        <v>59</v>
      </c>
      <c r="C38" s="11">
        <v>2</v>
      </c>
      <c r="D38" s="11" t="s">
        <v>17</v>
      </c>
      <c r="E38" s="20"/>
      <c r="F38" s="14"/>
      <c r="H38" s="15"/>
    </row>
    <row r="39" spans="1:8" s="8" customFormat="1" ht="12.75" x14ac:dyDescent="0.25">
      <c r="A39" s="17">
        <v>2037</v>
      </c>
      <c r="B39" s="11" t="s">
        <v>58</v>
      </c>
      <c r="C39" s="11">
        <v>12</v>
      </c>
      <c r="D39" s="11" t="s">
        <v>18</v>
      </c>
      <c r="E39" s="20"/>
      <c r="F39" s="14"/>
      <c r="H39" s="15"/>
    </row>
    <row r="40" spans="1:8" s="8" customFormat="1" ht="15.75" customHeight="1" x14ac:dyDescent="0.2">
      <c r="A40" s="47" t="s">
        <v>5</v>
      </c>
      <c r="B40" s="47"/>
      <c r="C40" s="47"/>
      <c r="D40" s="47"/>
      <c r="E40" s="47"/>
      <c r="F40" s="6">
        <f>SUM(F3:F39)</f>
        <v>0</v>
      </c>
    </row>
    <row r="41" spans="1:8" s="8" customFormat="1" ht="15.75" customHeight="1" x14ac:dyDescent="0.25">
      <c r="A41" s="43" t="s">
        <v>4</v>
      </c>
      <c r="B41" s="44"/>
      <c r="C41" s="44"/>
      <c r="D41" s="44"/>
      <c r="E41" s="45"/>
      <c r="F41" s="4" t="e">
        <f>SUM(#REF!+F40)</f>
        <v>#REF!</v>
      </c>
    </row>
    <row r="42" spans="1:8" s="8" customFormat="1" ht="15" customHeight="1" x14ac:dyDescent="0.25">
      <c r="A42" s="46"/>
      <c r="B42" s="46"/>
      <c r="C42" s="46"/>
      <c r="D42" s="46"/>
      <c r="E42" s="46"/>
      <c r="F42" s="46"/>
    </row>
  </sheetData>
  <mergeCells count="4">
    <mergeCell ref="A41:E41"/>
    <mergeCell ref="A42:F42"/>
    <mergeCell ref="A1:F1"/>
    <mergeCell ref="A40:E40"/>
  </mergeCells>
  <dataValidations count="1">
    <dataValidation type="list" allowBlank="1" sqref="E3:E39" xr:uid="{E44FA48E-D464-4F78-8B1C-9B4E42B29E50}">
      <formula1>#REF!</formula1>
    </dataValidation>
  </dataValidation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585B-16AA-431C-BE76-BD0F471CB5EE}">
  <dimension ref="A1:H42"/>
  <sheetViews>
    <sheetView topLeftCell="A27" zoomScale="150" zoomScaleNormal="150" workbookViewId="0">
      <selection activeCell="B46" sqref="B46"/>
    </sheetView>
  </sheetViews>
  <sheetFormatPr defaultRowHeight="15" x14ac:dyDescent="0.25"/>
  <cols>
    <col min="1" max="1" width="6" style="7" customWidth="1"/>
    <col min="2" max="2" width="55.5703125" style="7" customWidth="1"/>
    <col min="3" max="3" width="9.28515625" style="7" customWidth="1"/>
    <col min="4" max="4" width="8.42578125" style="7" customWidth="1"/>
    <col min="5" max="5" width="12.28515625" style="7" customWidth="1"/>
    <col min="6" max="6" width="18.28515625" style="7" customWidth="1"/>
    <col min="7" max="7" width="9.140625" style="7"/>
    <col min="8" max="8" width="10.140625" style="7" bestFit="1" customWidth="1"/>
    <col min="9" max="16384" width="9.140625" style="7"/>
  </cols>
  <sheetData>
    <row r="1" spans="1:8" s="8" customFormat="1" ht="12.75" x14ac:dyDescent="0.25">
      <c r="A1" s="48" t="s">
        <v>0</v>
      </c>
      <c r="B1" s="48"/>
      <c r="C1" s="48"/>
      <c r="D1" s="49"/>
      <c r="E1" s="49"/>
      <c r="F1" s="49"/>
    </row>
    <row r="2" spans="1:8" s="8" customFormat="1" ht="12.75" x14ac:dyDescent="0.25">
      <c r="A2" s="2" t="s">
        <v>1</v>
      </c>
      <c r="B2" s="3" t="s">
        <v>2</v>
      </c>
      <c r="C2" s="3" t="s">
        <v>13</v>
      </c>
      <c r="D2" s="2" t="s">
        <v>3</v>
      </c>
      <c r="E2" s="4" t="s">
        <v>14</v>
      </c>
      <c r="F2" s="5" t="s">
        <v>15</v>
      </c>
    </row>
    <row r="3" spans="1:8" s="8" customFormat="1" ht="12.75" x14ac:dyDescent="0.2">
      <c r="A3" s="1">
        <v>3001</v>
      </c>
      <c r="B3" s="12" t="s">
        <v>16</v>
      </c>
      <c r="C3" s="1">
        <v>270</v>
      </c>
      <c r="D3" s="1" t="s">
        <v>17</v>
      </c>
      <c r="E3" s="20"/>
      <c r="F3" s="14"/>
      <c r="H3" s="15"/>
    </row>
    <row r="4" spans="1:8" s="8" customFormat="1" ht="12.75" x14ac:dyDescent="0.2">
      <c r="A4" s="1">
        <v>3002</v>
      </c>
      <c r="B4" s="12" t="s">
        <v>21</v>
      </c>
      <c r="C4" s="1">
        <v>350</v>
      </c>
      <c r="D4" s="1" t="s">
        <v>17</v>
      </c>
      <c r="E4" s="20"/>
      <c r="F4" s="14"/>
      <c r="H4" s="15"/>
    </row>
    <row r="5" spans="1:8" s="8" customFormat="1" ht="12.75" x14ac:dyDescent="0.2">
      <c r="A5" s="1">
        <v>3003</v>
      </c>
      <c r="B5" s="12" t="s">
        <v>22</v>
      </c>
      <c r="C5" s="1">
        <v>350</v>
      </c>
      <c r="D5" s="1" t="s">
        <v>17</v>
      </c>
      <c r="E5" s="20"/>
      <c r="F5" s="14"/>
      <c r="H5" s="15"/>
    </row>
    <row r="6" spans="1:8" s="8" customFormat="1" ht="12.75" x14ac:dyDescent="0.2">
      <c r="A6" s="1">
        <v>3004</v>
      </c>
      <c r="B6" s="12" t="s">
        <v>23</v>
      </c>
      <c r="C6" s="1">
        <v>10</v>
      </c>
      <c r="D6" s="1" t="s">
        <v>17</v>
      </c>
      <c r="E6" s="20"/>
      <c r="F6" s="14"/>
      <c r="H6" s="15"/>
    </row>
    <row r="7" spans="1:8" s="8" customFormat="1" ht="12.75" x14ac:dyDescent="0.2">
      <c r="A7" s="1">
        <v>3005</v>
      </c>
      <c r="B7" s="12" t="s">
        <v>24</v>
      </c>
      <c r="C7" s="1">
        <v>2</v>
      </c>
      <c r="D7" s="1" t="s">
        <v>17</v>
      </c>
      <c r="E7" s="20"/>
      <c r="F7" s="14"/>
      <c r="H7" s="15"/>
    </row>
    <row r="8" spans="1:8" s="8" customFormat="1" ht="12.75" x14ac:dyDescent="0.2">
      <c r="A8" s="1">
        <v>3006</v>
      </c>
      <c r="B8" s="12" t="s">
        <v>25</v>
      </c>
      <c r="C8" s="1">
        <v>39</v>
      </c>
      <c r="D8" s="1" t="s">
        <v>17</v>
      </c>
      <c r="E8" s="20"/>
      <c r="F8" s="14"/>
      <c r="H8" s="15"/>
    </row>
    <row r="9" spans="1:8" s="8" customFormat="1" ht="12.75" x14ac:dyDescent="0.2">
      <c r="A9" s="1">
        <v>3007</v>
      </c>
      <c r="B9" s="12" t="s">
        <v>26</v>
      </c>
      <c r="C9" s="1">
        <v>39</v>
      </c>
      <c r="D9" s="1" t="s">
        <v>18</v>
      </c>
      <c r="E9" s="20"/>
      <c r="F9" s="14"/>
      <c r="H9" s="15"/>
    </row>
    <row r="10" spans="1:8" s="8" customFormat="1" ht="12.75" x14ac:dyDescent="0.2">
      <c r="A10" s="1">
        <v>3008</v>
      </c>
      <c r="B10" s="12" t="s">
        <v>27</v>
      </c>
      <c r="C10" s="1">
        <v>8</v>
      </c>
      <c r="D10" s="1" t="s">
        <v>19</v>
      </c>
      <c r="E10" s="20"/>
      <c r="F10" s="14"/>
      <c r="H10" s="15"/>
    </row>
    <row r="11" spans="1:8" s="8" customFormat="1" ht="25.5" x14ac:dyDescent="0.2">
      <c r="A11" s="1">
        <v>3009</v>
      </c>
      <c r="B11" s="12" t="s">
        <v>28</v>
      </c>
      <c r="C11" s="1">
        <v>3</v>
      </c>
      <c r="D11" s="1" t="s">
        <v>18</v>
      </c>
      <c r="E11" s="20"/>
      <c r="F11" s="14"/>
      <c r="H11" s="15"/>
    </row>
    <row r="12" spans="1:8" s="8" customFormat="1" ht="25.5" x14ac:dyDescent="0.2">
      <c r="A12" s="1">
        <v>3010</v>
      </c>
      <c r="B12" s="12" t="s">
        <v>29</v>
      </c>
      <c r="C12" s="1">
        <v>2</v>
      </c>
      <c r="D12" s="1" t="s">
        <v>18</v>
      </c>
      <c r="E12" s="20"/>
      <c r="F12" s="14"/>
      <c r="H12" s="15"/>
    </row>
    <row r="13" spans="1:8" s="8" customFormat="1" ht="25.5" x14ac:dyDescent="0.2">
      <c r="A13" s="1">
        <v>3011</v>
      </c>
      <c r="B13" s="12" t="s">
        <v>30</v>
      </c>
      <c r="C13" s="1">
        <v>2</v>
      </c>
      <c r="D13" s="1" t="s">
        <v>18</v>
      </c>
      <c r="E13" s="20"/>
      <c r="F13" s="14"/>
      <c r="H13" s="15"/>
    </row>
    <row r="14" spans="1:8" s="8" customFormat="1" ht="25.5" x14ac:dyDescent="0.2">
      <c r="A14" s="1">
        <v>3012</v>
      </c>
      <c r="B14" s="12" t="s">
        <v>31</v>
      </c>
      <c r="C14" s="1">
        <v>1</v>
      </c>
      <c r="D14" s="1" t="s">
        <v>18</v>
      </c>
      <c r="E14" s="20"/>
      <c r="F14" s="14"/>
      <c r="H14" s="15"/>
    </row>
    <row r="15" spans="1:8" s="8" customFormat="1" ht="12.75" x14ac:dyDescent="0.2">
      <c r="A15" s="1">
        <v>3013</v>
      </c>
      <c r="B15" s="12" t="s">
        <v>32</v>
      </c>
      <c r="C15" s="1">
        <v>1</v>
      </c>
      <c r="D15" s="1" t="s">
        <v>18</v>
      </c>
      <c r="E15" s="20"/>
      <c r="F15" s="14"/>
      <c r="H15" s="15"/>
    </row>
    <row r="16" spans="1:8" s="8" customFormat="1" ht="12.75" x14ac:dyDescent="0.2">
      <c r="A16" s="1">
        <v>3014</v>
      </c>
      <c r="B16" s="12" t="s">
        <v>37</v>
      </c>
      <c r="C16" s="1">
        <v>0</v>
      </c>
      <c r="D16" s="1" t="s">
        <v>18</v>
      </c>
      <c r="E16" s="6"/>
      <c r="F16" s="14"/>
      <c r="H16" s="15"/>
    </row>
    <row r="17" spans="1:8" s="8" customFormat="1" ht="25.5" x14ac:dyDescent="0.2">
      <c r="A17" s="1">
        <v>3015</v>
      </c>
      <c r="B17" s="12" t="s">
        <v>33</v>
      </c>
      <c r="C17" s="1">
        <v>1</v>
      </c>
      <c r="D17" s="1" t="s">
        <v>18</v>
      </c>
      <c r="E17" s="20"/>
      <c r="F17" s="14"/>
      <c r="H17" s="15"/>
    </row>
    <row r="18" spans="1:8" s="8" customFormat="1" ht="12.75" x14ac:dyDescent="0.2">
      <c r="A18" s="1">
        <v>3016</v>
      </c>
      <c r="B18" s="12" t="s">
        <v>34</v>
      </c>
      <c r="C18" s="1">
        <v>10</v>
      </c>
      <c r="D18" s="1" t="s">
        <v>18</v>
      </c>
      <c r="E18" s="20"/>
      <c r="F18" s="14"/>
      <c r="H18" s="15"/>
    </row>
    <row r="19" spans="1:8" s="8" customFormat="1" ht="25.5" x14ac:dyDescent="0.2">
      <c r="A19" s="1">
        <v>3017</v>
      </c>
      <c r="B19" s="12" t="s">
        <v>35</v>
      </c>
      <c r="C19" s="1">
        <v>1</v>
      </c>
      <c r="D19" s="1" t="s">
        <v>18</v>
      </c>
      <c r="E19" s="20"/>
      <c r="F19" s="14"/>
      <c r="H19" s="15"/>
    </row>
    <row r="20" spans="1:8" s="8" customFormat="1" ht="25.5" x14ac:dyDescent="0.2">
      <c r="A20" s="1">
        <v>3018</v>
      </c>
      <c r="B20" s="12" t="s">
        <v>36</v>
      </c>
      <c r="C20" s="1">
        <v>2</v>
      </c>
      <c r="D20" s="1" t="s">
        <v>18</v>
      </c>
      <c r="E20" s="20"/>
      <c r="F20" s="14"/>
      <c r="H20" s="15"/>
    </row>
    <row r="21" spans="1:8" s="8" customFormat="1" ht="25.5" x14ac:dyDescent="0.2">
      <c r="A21" s="1">
        <v>3019</v>
      </c>
      <c r="B21" s="12" t="s">
        <v>40</v>
      </c>
      <c r="C21" s="1">
        <v>7</v>
      </c>
      <c r="D21" s="1" t="s">
        <v>19</v>
      </c>
      <c r="E21" s="20"/>
      <c r="F21" s="14"/>
      <c r="H21" s="15"/>
    </row>
    <row r="22" spans="1:8" s="8" customFormat="1" ht="12.75" x14ac:dyDescent="0.2">
      <c r="A22" s="1">
        <v>3020</v>
      </c>
      <c r="B22" s="12" t="s">
        <v>41</v>
      </c>
      <c r="C22" s="1">
        <v>2</v>
      </c>
      <c r="D22" s="1" t="s">
        <v>18</v>
      </c>
      <c r="E22" s="20"/>
      <c r="F22" s="14"/>
      <c r="H22" s="15"/>
    </row>
    <row r="23" spans="1:8" s="8" customFormat="1" ht="12.75" x14ac:dyDescent="0.2">
      <c r="A23" s="1">
        <v>3021</v>
      </c>
      <c r="B23" s="12" t="s">
        <v>54</v>
      </c>
      <c r="C23" s="1">
        <v>2</v>
      </c>
      <c r="D23" s="1" t="s">
        <v>18</v>
      </c>
      <c r="E23" s="20"/>
      <c r="F23" s="14"/>
      <c r="H23" s="15"/>
    </row>
    <row r="24" spans="1:8" s="8" customFormat="1" ht="12.75" x14ac:dyDescent="0.2">
      <c r="A24" s="1">
        <v>3022</v>
      </c>
      <c r="B24" s="12" t="s">
        <v>42</v>
      </c>
      <c r="C24" s="1">
        <v>8</v>
      </c>
      <c r="D24" s="1" t="s">
        <v>19</v>
      </c>
      <c r="E24" s="20"/>
      <c r="F24" s="14"/>
      <c r="H24" s="15"/>
    </row>
    <row r="25" spans="1:8" s="8" customFormat="1" ht="12.75" x14ac:dyDescent="0.2">
      <c r="A25" s="1">
        <v>3023</v>
      </c>
      <c r="B25" s="12" t="s">
        <v>53</v>
      </c>
      <c r="C25" s="1">
        <v>1</v>
      </c>
      <c r="D25" s="1" t="s">
        <v>17</v>
      </c>
      <c r="E25" s="20"/>
      <c r="F25" s="14"/>
      <c r="H25" s="15"/>
    </row>
    <row r="26" spans="1:8" s="8" customFormat="1" ht="12.75" x14ac:dyDescent="0.2">
      <c r="A26" s="1">
        <v>3024</v>
      </c>
      <c r="B26" s="12" t="s">
        <v>43</v>
      </c>
      <c r="C26" s="1">
        <v>15</v>
      </c>
      <c r="D26" s="1" t="s">
        <v>17</v>
      </c>
      <c r="E26" s="20"/>
      <c r="F26" s="14"/>
      <c r="H26" s="15"/>
    </row>
    <row r="27" spans="1:8" s="8" customFormat="1" ht="12.75" x14ac:dyDescent="0.2">
      <c r="A27" s="1">
        <v>3025</v>
      </c>
      <c r="B27" s="12" t="s">
        <v>44</v>
      </c>
      <c r="C27" s="1">
        <v>600</v>
      </c>
      <c r="D27" s="1" t="s">
        <v>20</v>
      </c>
      <c r="E27" s="20"/>
      <c r="F27" s="14"/>
      <c r="H27" s="15"/>
    </row>
    <row r="28" spans="1:8" s="8" customFormat="1" ht="12.75" x14ac:dyDescent="0.2">
      <c r="A28" s="1">
        <v>3026</v>
      </c>
      <c r="B28" s="12" t="s">
        <v>45</v>
      </c>
      <c r="C28" s="1">
        <v>2</v>
      </c>
      <c r="D28" s="1" t="s">
        <v>17</v>
      </c>
      <c r="E28" s="20"/>
      <c r="F28" s="14"/>
      <c r="H28" s="15"/>
    </row>
    <row r="29" spans="1:8" s="8" customFormat="1" ht="12.75" x14ac:dyDescent="0.2">
      <c r="A29" s="1">
        <v>3027</v>
      </c>
      <c r="B29" s="12" t="s">
        <v>46</v>
      </c>
      <c r="C29" s="1">
        <v>8</v>
      </c>
      <c r="D29" s="1" t="s">
        <v>19</v>
      </c>
      <c r="E29" s="20"/>
      <c r="F29" s="14"/>
      <c r="H29" s="15"/>
    </row>
    <row r="30" spans="1:8" s="8" customFormat="1" ht="12.75" x14ac:dyDescent="0.2">
      <c r="A30" s="1">
        <v>3028</v>
      </c>
      <c r="B30" s="12" t="s">
        <v>47</v>
      </c>
      <c r="C30" s="1">
        <v>12</v>
      </c>
      <c r="D30" s="1" t="s">
        <v>19</v>
      </c>
      <c r="E30" s="20"/>
      <c r="F30" s="14"/>
      <c r="H30" s="15"/>
    </row>
    <row r="31" spans="1:8" s="8" customFormat="1" ht="12.75" x14ac:dyDescent="0.2">
      <c r="A31" s="1">
        <v>3029</v>
      </c>
      <c r="B31" s="12" t="s">
        <v>48</v>
      </c>
      <c r="C31" s="1">
        <v>12</v>
      </c>
      <c r="D31" s="1" t="s">
        <v>19</v>
      </c>
      <c r="E31" s="20"/>
      <c r="F31" s="14"/>
      <c r="H31" s="15"/>
    </row>
    <row r="32" spans="1:8" s="8" customFormat="1" ht="12.75" x14ac:dyDescent="0.2">
      <c r="A32" s="1">
        <v>3030</v>
      </c>
      <c r="B32" s="12" t="s">
        <v>49</v>
      </c>
      <c r="C32" s="1">
        <v>2</v>
      </c>
      <c r="D32" s="1" t="s">
        <v>18</v>
      </c>
      <c r="E32" s="20"/>
      <c r="F32" s="14"/>
      <c r="H32" s="15"/>
    </row>
    <row r="33" spans="1:8" s="8" customFormat="1" ht="25.5" x14ac:dyDescent="0.2">
      <c r="A33" s="1">
        <v>3031</v>
      </c>
      <c r="B33" s="12" t="s">
        <v>50</v>
      </c>
      <c r="C33" s="1">
        <v>8</v>
      </c>
      <c r="D33" s="1" t="s">
        <v>19</v>
      </c>
      <c r="E33" s="20"/>
      <c r="F33" s="14"/>
      <c r="H33" s="15"/>
    </row>
    <row r="34" spans="1:8" s="8" customFormat="1" ht="25.5" x14ac:dyDescent="0.2">
      <c r="A34" s="1">
        <v>3032</v>
      </c>
      <c r="B34" s="12" t="s">
        <v>51</v>
      </c>
      <c r="C34" s="1">
        <v>24</v>
      </c>
      <c r="D34" s="1" t="s">
        <v>18</v>
      </c>
      <c r="E34" s="20"/>
      <c r="F34" s="14"/>
      <c r="H34" s="15"/>
    </row>
    <row r="35" spans="1:8" s="8" customFormat="1" ht="12.75" x14ac:dyDescent="0.2">
      <c r="A35" s="1">
        <v>3033</v>
      </c>
      <c r="B35" s="12" t="s">
        <v>52</v>
      </c>
      <c r="C35" s="1">
        <v>2095</v>
      </c>
      <c r="D35" s="1" t="s">
        <v>17</v>
      </c>
      <c r="E35" s="20"/>
      <c r="F35" s="14"/>
      <c r="H35" s="15"/>
    </row>
    <row r="36" spans="1:8" s="8" customFormat="1" ht="12.75" x14ac:dyDescent="0.2">
      <c r="A36" s="17">
        <v>3034</v>
      </c>
      <c r="B36" s="12" t="s">
        <v>56</v>
      </c>
      <c r="C36" s="11">
        <v>10</v>
      </c>
      <c r="D36" s="11" t="s">
        <v>17</v>
      </c>
      <c r="E36" s="20"/>
      <c r="F36" s="14"/>
      <c r="H36" s="15"/>
    </row>
    <row r="37" spans="1:8" s="8" customFormat="1" ht="12.75" x14ac:dyDescent="0.2">
      <c r="A37" s="17">
        <v>3035</v>
      </c>
      <c r="B37" s="12" t="s">
        <v>57</v>
      </c>
      <c r="C37" s="11">
        <v>2</v>
      </c>
      <c r="D37" s="11" t="s">
        <v>17</v>
      </c>
      <c r="E37" s="20"/>
      <c r="F37" s="14"/>
      <c r="H37" s="15"/>
    </row>
    <row r="38" spans="1:8" s="8" customFormat="1" ht="12.75" x14ac:dyDescent="0.2">
      <c r="A38" s="17">
        <v>3036</v>
      </c>
      <c r="B38" s="12" t="s">
        <v>59</v>
      </c>
      <c r="C38" s="11">
        <v>2</v>
      </c>
      <c r="D38" s="11" t="s">
        <v>17</v>
      </c>
      <c r="E38" s="20"/>
      <c r="F38" s="14"/>
      <c r="H38" s="15"/>
    </row>
    <row r="39" spans="1:8" s="8" customFormat="1" ht="12.75" x14ac:dyDescent="0.25">
      <c r="A39" s="17">
        <v>3037</v>
      </c>
      <c r="B39" s="11" t="s">
        <v>58</v>
      </c>
      <c r="C39" s="11">
        <v>12</v>
      </c>
      <c r="D39" s="11" t="s">
        <v>18</v>
      </c>
      <c r="E39" s="20"/>
      <c r="F39" s="14"/>
      <c r="H39" s="15"/>
    </row>
    <row r="40" spans="1:8" s="8" customFormat="1" ht="15.75" customHeight="1" x14ac:dyDescent="0.2">
      <c r="A40" s="47" t="s">
        <v>5</v>
      </c>
      <c r="B40" s="47"/>
      <c r="C40" s="47"/>
      <c r="D40" s="47"/>
      <c r="E40" s="47"/>
      <c r="F40" s="6">
        <f>SUM(F3:F39)</f>
        <v>0</v>
      </c>
    </row>
    <row r="41" spans="1:8" s="8" customFormat="1" ht="15.75" customHeight="1" x14ac:dyDescent="0.25">
      <c r="A41" s="43" t="s">
        <v>4</v>
      </c>
      <c r="B41" s="44"/>
      <c r="C41" s="44"/>
      <c r="D41" s="44"/>
      <c r="E41" s="45"/>
      <c r="F41" s="4" t="e">
        <f>SUM(#REF!+F40)</f>
        <v>#REF!</v>
      </c>
    </row>
    <row r="42" spans="1:8" s="8" customFormat="1" ht="15" customHeight="1" x14ac:dyDescent="0.25">
      <c r="A42" s="46" t="s">
        <v>6</v>
      </c>
      <c r="B42" s="46"/>
      <c r="C42" s="46"/>
      <c r="D42" s="46"/>
      <c r="E42" s="46"/>
      <c r="F42" s="46"/>
    </row>
  </sheetData>
  <mergeCells count="4">
    <mergeCell ref="A41:E41"/>
    <mergeCell ref="A42:F42"/>
    <mergeCell ref="A1:F1"/>
    <mergeCell ref="A40:E40"/>
  </mergeCells>
  <dataValidations count="2">
    <dataValidation type="list" allowBlank="1" showInputMessage="1" showErrorMessage="1" sqref="E3:E35" xr:uid="{CDF1C81A-7125-4730-8575-72E0204C1D6D}">
      <formula1>#REF!</formula1>
    </dataValidation>
    <dataValidation type="list" allowBlank="1" sqref="E36:E39" xr:uid="{08AA9855-3BE6-4C97-BD97-9C4E437C4814}">
      <formula1>#REF!</formula1>
    </dataValidation>
  </dataValidation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8CA2-53B7-4B19-B34D-C72B6A56C2B3}">
  <dimension ref="A1:H41"/>
  <sheetViews>
    <sheetView topLeftCell="A21" zoomScale="150" zoomScaleNormal="150" workbookViewId="0">
      <selection activeCell="B34" sqref="B34"/>
    </sheetView>
  </sheetViews>
  <sheetFormatPr defaultRowHeight="15" x14ac:dyDescent="0.25"/>
  <cols>
    <col min="1" max="1" width="6" style="7" customWidth="1"/>
    <col min="2" max="2" width="55.5703125" style="7" customWidth="1"/>
    <col min="3" max="3" width="9.28515625" style="7" customWidth="1"/>
    <col min="4" max="4" width="8.42578125" style="7" customWidth="1"/>
    <col min="5" max="5" width="12.28515625" style="7" customWidth="1"/>
    <col min="6" max="6" width="18.28515625" style="7" customWidth="1"/>
    <col min="7" max="16384" width="9.140625" style="7"/>
  </cols>
  <sheetData>
    <row r="1" spans="1:8" s="8" customFormat="1" ht="12.75" x14ac:dyDescent="0.25">
      <c r="A1" s="48" t="s">
        <v>0</v>
      </c>
      <c r="B1" s="48"/>
      <c r="C1" s="48"/>
      <c r="D1" s="49"/>
      <c r="E1" s="49"/>
      <c r="F1" s="49"/>
    </row>
    <row r="2" spans="1:8" s="8" customFormat="1" ht="12.75" x14ac:dyDescent="0.25">
      <c r="A2" s="2" t="s">
        <v>1</v>
      </c>
      <c r="B2" s="3" t="s">
        <v>2</v>
      </c>
      <c r="C2" s="3" t="s">
        <v>13</v>
      </c>
      <c r="D2" s="2" t="s">
        <v>3</v>
      </c>
      <c r="E2" s="4" t="s">
        <v>14</v>
      </c>
      <c r="F2" s="5" t="s">
        <v>15</v>
      </c>
    </row>
    <row r="3" spans="1:8" s="8" customFormat="1" ht="12.75" x14ac:dyDescent="0.2">
      <c r="A3" s="1">
        <v>4001</v>
      </c>
      <c r="B3" s="12" t="s">
        <v>16</v>
      </c>
      <c r="C3" s="1">
        <v>270</v>
      </c>
      <c r="D3" s="1" t="s">
        <v>17</v>
      </c>
      <c r="E3" s="20"/>
      <c r="F3" s="14"/>
      <c r="H3" s="15"/>
    </row>
    <row r="4" spans="1:8" s="8" customFormat="1" ht="12.75" x14ac:dyDescent="0.2">
      <c r="A4" s="1">
        <v>4002</v>
      </c>
      <c r="B4" s="12" t="s">
        <v>21</v>
      </c>
      <c r="C4" s="1">
        <v>350</v>
      </c>
      <c r="D4" s="1" t="s">
        <v>17</v>
      </c>
      <c r="E4" s="20"/>
      <c r="F4" s="14"/>
    </row>
    <row r="5" spans="1:8" s="8" customFormat="1" ht="12.75" x14ac:dyDescent="0.2">
      <c r="A5" s="1">
        <v>4003</v>
      </c>
      <c r="B5" s="12" t="s">
        <v>22</v>
      </c>
      <c r="C5" s="1">
        <v>350</v>
      </c>
      <c r="D5" s="1" t="s">
        <v>17</v>
      </c>
      <c r="E5" s="20"/>
      <c r="F5" s="14"/>
    </row>
    <row r="6" spans="1:8" s="8" customFormat="1" ht="12.75" x14ac:dyDescent="0.2">
      <c r="A6" s="1">
        <v>4004</v>
      </c>
      <c r="B6" s="12" t="s">
        <v>23</v>
      </c>
      <c r="C6" s="1">
        <v>10</v>
      </c>
      <c r="D6" s="1" t="s">
        <v>17</v>
      </c>
      <c r="E6" s="20"/>
      <c r="F6" s="14"/>
    </row>
    <row r="7" spans="1:8" s="8" customFormat="1" ht="12.75" x14ac:dyDescent="0.2">
      <c r="A7" s="1">
        <v>4005</v>
      </c>
      <c r="B7" s="12" t="s">
        <v>24</v>
      </c>
      <c r="C7" s="1">
        <v>2</v>
      </c>
      <c r="D7" s="1" t="s">
        <v>17</v>
      </c>
      <c r="E7" s="20"/>
      <c r="F7" s="14"/>
    </row>
    <row r="8" spans="1:8" s="8" customFormat="1" ht="12.75" x14ac:dyDescent="0.2">
      <c r="A8" s="1">
        <v>4006</v>
      </c>
      <c r="B8" s="12" t="s">
        <v>25</v>
      </c>
      <c r="C8" s="1">
        <v>39</v>
      </c>
      <c r="D8" s="1" t="s">
        <v>17</v>
      </c>
      <c r="E8" s="20"/>
      <c r="F8" s="14"/>
    </row>
    <row r="9" spans="1:8" s="8" customFormat="1" ht="12.75" x14ac:dyDescent="0.2">
      <c r="A9" s="1">
        <v>4007</v>
      </c>
      <c r="B9" s="12" t="s">
        <v>26</v>
      </c>
      <c r="C9" s="1">
        <v>39</v>
      </c>
      <c r="D9" s="1" t="s">
        <v>18</v>
      </c>
      <c r="E9" s="20"/>
      <c r="F9" s="14"/>
    </row>
    <row r="10" spans="1:8" s="8" customFormat="1" ht="12.75" x14ac:dyDescent="0.2">
      <c r="A10" s="1">
        <v>4008</v>
      </c>
      <c r="B10" s="12" t="s">
        <v>27</v>
      </c>
      <c r="C10" s="1">
        <v>8</v>
      </c>
      <c r="D10" s="1" t="s">
        <v>19</v>
      </c>
      <c r="E10" s="20"/>
      <c r="F10" s="14"/>
    </row>
    <row r="11" spans="1:8" s="8" customFormat="1" ht="25.5" x14ac:dyDescent="0.2">
      <c r="A11" s="1">
        <v>4009</v>
      </c>
      <c r="B11" s="12" t="s">
        <v>28</v>
      </c>
      <c r="C11" s="1">
        <v>3</v>
      </c>
      <c r="D11" s="1" t="s">
        <v>18</v>
      </c>
      <c r="E11" s="20"/>
      <c r="F11" s="14"/>
    </row>
    <row r="12" spans="1:8" s="8" customFormat="1" ht="25.5" x14ac:dyDescent="0.2">
      <c r="A12" s="1">
        <v>4010</v>
      </c>
      <c r="B12" s="12" t="s">
        <v>29</v>
      </c>
      <c r="C12" s="1">
        <v>2</v>
      </c>
      <c r="D12" s="1" t="s">
        <v>18</v>
      </c>
      <c r="E12" s="20"/>
      <c r="F12" s="14"/>
    </row>
    <row r="13" spans="1:8" s="8" customFormat="1" ht="25.5" x14ac:dyDescent="0.2">
      <c r="A13" s="1">
        <v>4011</v>
      </c>
      <c r="B13" s="12" t="s">
        <v>30</v>
      </c>
      <c r="C13" s="1">
        <v>2</v>
      </c>
      <c r="D13" s="1" t="s">
        <v>18</v>
      </c>
      <c r="E13" s="20"/>
      <c r="F13" s="14"/>
    </row>
    <row r="14" spans="1:8" s="8" customFormat="1" ht="25.5" x14ac:dyDescent="0.2">
      <c r="A14" s="1">
        <v>4012</v>
      </c>
      <c r="B14" s="12" t="s">
        <v>31</v>
      </c>
      <c r="C14" s="1">
        <v>1</v>
      </c>
      <c r="D14" s="1" t="s">
        <v>18</v>
      </c>
      <c r="E14" s="20"/>
      <c r="F14" s="14"/>
    </row>
    <row r="15" spans="1:8" s="8" customFormat="1" ht="12.75" x14ac:dyDescent="0.2">
      <c r="A15" s="1">
        <v>4013</v>
      </c>
      <c r="B15" s="12" t="s">
        <v>32</v>
      </c>
      <c r="C15" s="1">
        <v>1</v>
      </c>
      <c r="D15" s="1" t="s">
        <v>18</v>
      </c>
      <c r="E15" s="20"/>
      <c r="F15" s="14"/>
    </row>
    <row r="16" spans="1:8" s="8" customFormat="1" ht="12.75" x14ac:dyDescent="0.2">
      <c r="A16" s="1">
        <v>4014</v>
      </c>
      <c r="B16" s="12" t="s">
        <v>37</v>
      </c>
      <c r="C16" s="1">
        <v>0</v>
      </c>
      <c r="D16" s="1" t="s">
        <v>18</v>
      </c>
      <c r="E16" s="20"/>
      <c r="F16" s="14"/>
    </row>
    <row r="17" spans="1:6" s="8" customFormat="1" ht="25.5" x14ac:dyDescent="0.2">
      <c r="A17" s="1">
        <v>4015</v>
      </c>
      <c r="B17" s="12" t="s">
        <v>33</v>
      </c>
      <c r="C17" s="1">
        <v>1</v>
      </c>
      <c r="D17" s="1" t="s">
        <v>18</v>
      </c>
      <c r="E17" s="20"/>
      <c r="F17" s="14"/>
    </row>
    <row r="18" spans="1:6" s="8" customFormat="1" ht="12.75" x14ac:dyDescent="0.2">
      <c r="A18" s="1">
        <v>4016</v>
      </c>
      <c r="B18" s="12" t="s">
        <v>34</v>
      </c>
      <c r="C18" s="1">
        <v>10</v>
      </c>
      <c r="D18" s="1" t="s">
        <v>18</v>
      </c>
      <c r="E18" s="20"/>
      <c r="F18" s="14"/>
    </row>
    <row r="19" spans="1:6" s="8" customFormat="1" ht="25.5" x14ac:dyDescent="0.2">
      <c r="A19" s="1">
        <v>4017</v>
      </c>
      <c r="B19" s="12" t="s">
        <v>35</v>
      </c>
      <c r="C19" s="1">
        <v>1</v>
      </c>
      <c r="D19" s="1" t="s">
        <v>18</v>
      </c>
      <c r="E19" s="20"/>
      <c r="F19" s="14"/>
    </row>
    <row r="20" spans="1:6" s="8" customFormat="1" ht="25.5" x14ac:dyDescent="0.2">
      <c r="A20" s="1">
        <v>4018</v>
      </c>
      <c r="B20" s="12" t="s">
        <v>36</v>
      </c>
      <c r="C20" s="1">
        <v>2</v>
      </c>
      <c r="D20" s="1" t="s">
        <v>18</v>
      </c>
      <c r="E20" s="20"/>
      <c r="F20" s="14"/>
    </row>
    <row r="21" spans="1:6" s="8" customFormat="1" ht="25.5" x14ac:dyDescent="0.2">
      <c r="A21" s="1">
        <v>4019</v>
      </c>
      <c r="B21" s="12" t="s">
        <v>40</v>
      </c>
      <c r="C21" s="1">
        <v>7</v>
      </c>
      <c r="D21" s="1" t="s">
        <v>19</v>
      </c>
      <c r="E21" s="20"/>
      <c r="F21" s="14"/>
    </row>
    <row r="22" spans="1:6" s="8" customFormat="1" ht="12.75" x14ac:dyDescent="0.2">
      <c r="A22" s="1">
        <v>4020</v>
      </c>
      <c r="B22" s="12" t="s">
        <v>41</v>
      </c>
      <c r="C22" s="1">
        <v>2</v>
      </c>
      <c r="D22" s="1" t="s">
        <v>18</v>
      </c>
      <c r="E22" s="20"/>
      <c r="F22" s="14"/>
    </row>
    <row r="23" spans="1:6" s="8" customFormat="1" ht="12.75" x14ac:dyDescent="0.2">
      <c r="A23" s="1">
        <v>4021</v>
      </c>
      <c r="B23" s="12" t="s">
        <v>54</v>
      </c>
      <c r="C23" s="1">
        <v>2</v>
      </c>
      <c r="D23" s="1" t="s">
        <v>18</v>
      </c>
      <c r="E23" s="20"/>
      <c r="F23" s="14"/>
    </row>
    <row r="24" spans="1:6" s="8" customFormat="1" ht="12.75" x14ac:dyDescent="0.2">
      <c r="A24" s="1">
        <v>4022</v>
      </c>
      <c r="B24" s="12" t="s">
        <v>42</v>
      </c>
      <c r="C24" s="1">
        <v>8</v>
      </c>
      <c r="D24" s="1" t="s">
        <v>19</v>
      </c>
      <c r="E24" s="20"/>
      <c r="F24" s="14"/>
    </row>
    <row r="25" spans="1:6" s="8" customFormat="1" ht="12.75" x14ac:dyDescent="0.2">
      <c r="A25" s="1">
        <v>4023</v>
      </c>
      <c r="B25" s="12" t="s">
        <v>53</v>
      </c>
      <c r="C25" s="1">
        <v>1</v>
      </c>
      <c r="D25" s="1" t="s">
        <v>17</v>
      </c>
      <c r="E25" s="20"/>
      <c r="F25" s="14"/>
    </row>
    <row r="26" spans="1:6" s="8" customFormat="1" ht="12.75" x14ac:dyDescent="0.2">
      <c r="A26" s="1">
        <v>4024</v>
      </c>
      <c r="B26" s="12" t="s">
        <v>43</v>
      </c>
      <c r="C26" s="1">
        <v>15</v>
      </c>
      <c r="D26" s="1" t="s">
        <v>17</v>
      </c>
      <c r="E26" s="20"/>
      <c r="F26" s="14"/>
    </row>
    <row r="27" spans="1:6" s="8" customFormat="1" ht="12.75" x14ac:dyDescent="0.2">
      <c r="A27" s="1">
        <v>4025</v>
      </c>
      <c r="B27" s="12" t="s">
        <v>44</v>
      </c>
      <c r="C27" s="1">
        <v>600</v>
      </c>
      <c r="D27" s="1" t="s">
        <v>20</v>
      </c>
      <c r="E27" s="20"/>
      <c r="F27" s="14"/>
    </row>
    <row r="28" spans="1:6" s="8" customFormat="1" ht="12.75" x14ac:dyDescent="0.2">
      <c r="A28" s="1">
        <v>4026</v>
      </c>
      <c r="B28" s="12" t="s">
        <v>45</v>
      </c>
      <c r="C28" s="1">
        <v>2</v>
      </c>
      <c r="D28" s="1" t="s">
        <v>17</v>
      </c>
      <c r="E28" s="20"/>
      <c r="F28" s="14"/>
    </row>
    <row r="29" spans="1:6" s="8" customFormat="1" ht="12.75" x14ac:dyDescent="0.2">
      <c r="A29" s="1">
        <v>4027</v>
      </c>
      <c r="B29" s="12" t="s">
        <v>46</v>
      </c>
      <c r="C29" s="1">
        <v>8</v>
      </c>
      <c r="D29" s="1" t="s">
        <v>19</v>
      </c>
      <c r="E29" s="20"/>
      <c r="F29" s="14"/>
    </row>
    <row r="30" spans="1:6" s="8" customFormat="1" ht="12.75" x14ac:dyDescent="0.2">
      <c r="A30" s="1">
        <v>4028</v>
      </c>
      <c r="B30" s="12" t="s">
        <v>47</v>
      </c>
      <c r="C30" s="1">
        <v>12</v>
      </c>
      <c r="D30" s="1" t="s">
        <v>19</v>
      </c>
      <c r="E30" s="20"/>
      <c r="F30" s="14"/>
    </row>
    <row r="31" spans="1:6" s="8" customFormat="1" ht="12.75" x14ac:dyDescent="0.2">
      <c r="A31" s="1">
        <v>4029</v>
      </c>
      <c r="B31" s="12" t="s">
        <v>48</v>
      </c>
      <c r="C31" s="1">
        <v>12</v>
      </c>
      <c r="D31" s="1" t="s">
        <v>19</v>
      </c>
      <c r="E31" s="20"/>
      <c r="F31" s="14"/>
    </row>
    <row r="32" spans="1:6" s="8" customFormat="1" ht="12.75" x14ac:dyDescent="0.2">
      <c r="A32" s="1">
        <v>4030</v>
      </c>
      <c r="B32" s="12" t="s">
        <v>49</v>
      </c>
      <c r="C32" s="1">
        <v>2</v>
      </c>
      <c r="D32" s="1" t="s">
        <v>18</v>
      </c>
      <c r="E32" s="20"/>
      <c r="F32" s="14"/>
    </row>
    <row r="33" spans="1:6" s="8" customFormat="1" ht="25.5" x14ac:dyDescent="0.2">
      <c r="A33" s="1">
        <v>4031</v>
      </c>
      <c r="B33" s="12" t="s">
        <v>50</v>
      </c>
      <c r="C33" s="1">
        <v>8</v>
      </c>
      <c r="D33" s="1" t="s">
        <v>19</v>
      </c>
      <c r="E33" s="20"/>
      <c r="F33" s="14"/>
    </row>
    <row r="34" spans="1:6" s="8" customFormat="1" ht="25.5" x14ac:dyDescent="0.2">
      <c r="A34" s="1">
        <v>4032</v>
      </c>
      <c r="B34" s="12" t="s">
        <v>51</v>
      </c>
      <c r="C34" s="1">
        <v>24</v>
      </c>
      <c r="D34" s="1" t="s">
        <v>18</v>
      </c>
      <c r="E34" s="20"/>
      <c r="F34" s="14"/>
    </row>
    <row r="35" spans="1:6" s="8" customFormat="1" ht="12.75" x14ac:dyDescent="0.2">
      <c r="A35" s="1">
        <v>4033</v>
      </c>
      <c r="B35" s="12" t="s">
        <v>52</v>
      </c>
      <c r="C35" s="1">
        <v>2095</v>
      </c>
      <c r="D35" s="1" t="s">
        <v>17</v>
      </c>
      <c r="E35" s="20"/>
      <c r="F35" s="14"/>
    </row>
    <row r="36" spans="1:6" s="8" customFormat="1" ht="12.75" x14ac:dyDescent="0.2">
      <c r="A36" s="17">
        <v>4034</v>
      </c>
      <c r="B36" s="12" t="s">
        <v>56</v>
      </c>
      <c r="C36" s="11">
        <v>10</v>
      </c>
      <c r="D36" s="11" t="s">
        <v>17</v>
      </c>
      <c r="E36" s="20"/>
      <c r="F36" s="14"/>
    </row>
    <row r="37" spans="1:6" s="8" customFormat="1" ht="12.75" x14ac:dyDescent="0.2">
      <c r="A37" s="17">
        <v>4035</v>
      </c>
      <c r="B37" s="12" t="s">
        <v>57</v>
      </c>
      <c r="C37" s="11">
        <v>2</v>
      </c>
      <c r="D37" s="11" t="s">
        <v>17</v>
      </c>
      <c r="E37" s="20"/>
      <c r="F37" s="14"/>
    </row>
    <row r="38" spans="1:6" s="8" customFormat="1" ht="12.75" x14ac:dyDescent="0.2">
      <c r="A38" s="17">
        <v>4036</v>
      </c>
      <c r="B38" s="12" t="s">
        <v>59</v>
      </c>
      <c r="C38" s="11">
        <v>2</v>
      </c>
      <c r="D38" s="11" t="s">
        <v>17</v>
      </c>
      <c r="E38" s="20"/>
      <c r="F38" s="14"/>
    </row>
    <row r="39" spans="1:6" s="8" customFormat="1" ht="12.75" x14ac:dyDescent="0.25">
      <c r="A39" s="17">
        <v>4037</v>
      </c>
      <c r="B39" s="11" t="s">
        <v>58</v>
      </c>
      <c r="C39" s="11">
        <v>12</v>
      </c>
      <c r="D39" s="11" t="s">
        <v>18</v>
      </c>
      <c r="E39" s="20"/>
      <c r="F39" s="14"/>
    </row>
    <row r="40" spans="1:6" s="8" customFormat="1" ht="15.75" customHeight="1" x14ac:dyDescent="0.2">
      <c r="A40" s="47" t="s">
        <v>5</v>
      </c>
      <c r="B40" s="47"/>
      <c r="C40" s="47"/>
      <c r="D40" s="47"/>
      <c r="E40" s="47"/>
      <c r="F40" s="6">
        <f>SUM(F3:F39)</f>
        <v>0</v>
      </c>
    </row>
    <row r="41" spans="1:6" s="8" customFormat="1" ht="15.75" customHeight="1" x14ac:dyDescent="0.25">
      <c r="A41" s="43" t="s">
        <v>4</v>
      </c>
      <c r="B41" s="44"/>
      <c r="C41" s="44"/>
      <c r="D41" s="44"/>
      <c r="E41" s="45"/>
      <c r="F41" s="4" t="e">
        <f>SUM(#REF!+F40)</f>
        <v>#REF!</v>
      </c>
    </row>
  </sheetData>
  <mergeCells count="3">
    <mergeCell ref="A41:E41"/>
    <mergeCell ref="A1:F1"/>
    <mergeCell ref="A40:E40"/>
  </mergeCells>
  <dataValidations count="1">
    <dataValidation type="list" allowBlank="1" sqref="E3:E39" xr:uid="{78B3933B-E685-44C5-9CA3-894178ED9B76}">
      <formula1>#REF!</formula1>
    </dataValidation>
  </dataValidation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63A610D434CB4EB1F214F200A641B6" ma:contentTypeVersion="18" ma:contentTypeDescription="Create a new document." ma:contentTypeScope="" ma:versionID="f66e62389eb9e87fa466209fe559a48c">
  <xsd:schema xmlns:xsd="http://www.w3.org/2001/XMLSchema" xmlns:xs="http://www.w3.org/2001/XMLSchema" xmlns:p="http://schemas.microsoft.com/office/2006/metadata/properties" xmlns:ns2="6ec23482-e84e-426c-bf57-6b5614e539ed" xmlns:ns3="40d19052-5e5c-447f-bcee-c684687956fe" xmlns:ns4="5c9b2cf0-f87a-4ce8-bb4f-f60534e425c2" targetNamespace="http://schemas.microsoft.com/office/2006/metadata/properties" ma:root="true" ma:fieldsID="b478e7e337cb2f37780e95c4c9946096" ns2:_="" ns3:_="" ns4:_="">
    <xsd:import namespace="6ec23482-e84e-426c-bf57-6b5614e539ed"/>
    <xsd:import namespace="40d19052-5e5c-447f-bcee-c684687956fe"/>
    <xsd:import namespace="5c9b2cf0-f87a-4ce8-bb4f-f60534e42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23482-e84e-426c-bf57-6b5614e539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19052-5e5c-447f-bcee-c68468795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b2cf0-f87a-4ce8-bb4f-f60534e425c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bb28423-780b-4050-a0bd-2d808c8c3c4a}" ma:internalName="TaxCatchAll" ma:showField="CatchAllData" ma:web="5c9b2cf0-f87a-4ce8-bb4f-f60534e425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SharedWithUsers xmlns="40d19052-5e5c-447f-bcee-c684687956fe">
      <UserInfo>
        <DisplayName>Acevedo Jr, Francisco</DisplayName>
        <AccountId>3091</AccountId>
        <AccountType/>
      </UserInfo>
    </SharedWithUsers>
    <lcf76f155ced4ddcb4097134ff3c332f xmlns="6ec23482-e84e-426c-bf57-6b5614e539ed">
      <Terms xmlns="http://schemas.microsoft.com/office/infopath/2007/PartnerControls"/>
    </lcf76f155ced4ddcb4097134ff3c332f>
    <TaxCatchAll xmlns="5c9b2cf0-f87a-4ce8-bb4f-f60534e425c2" xsi:nil="true"/>
  </documentManagement>
</p:properties>
</file>

<file path=customXml/itemProps1.xml><?xml version="1.0" encoding="utf-8"?>
<ds:datastoreItem xmlns:ds="http://schemas.openxmlformats.org/officeDocument/2006/customXml" ds:itemID="{B6CA35FA-53B6-41F8-9B25-A2737EC0E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c23482-e84e-426c-bf57-6b5614e539ed"/>
    <ds:schemaRef ds:uri="40d19052-5e5c-447f-bcee-c684687956fe"/>
    <ds:schemaRef ds:uri="5c9b2cf0-f87a-4ce8-bb4f-f60534e425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CD84EE-5E82-413B-935F-792CDAAD100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FD720DD-A424-4EAF-BDF8-850E7ACCBF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ACF4202-332B-4614-8706-CA24D8383EFE}">
  <ds:schemaRefs>
    <ds:schemaRef ds:uri="http://schemas.microsoft.com/office/2006/metadata/properties"/>
    <ds:schemaRef ds:uri="74839085-0891-4c93-a0c2-8dd0de3c1e69"/>
    <ds:schemaRef ds:uri="http://schemas.microsoft.com/sharepoint/v3"/>
    <ds:schemaRef ds:uri="40d19052-5e5c-447f-bcee-c684687956fe"/>
    <ds:schemaRef ds:uri="6ec23482-e84e-426c-bf57-6b5614e539ed"/>
    <ds:schemaRef ds:uri="http://schemas.microsoft.com/office/infopath/2007/PartnerControls"/>
    <ds:schemaRef ds:uri="5c9b2cf0-f87a-4ce8-bb4f-f60534e425c2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OY1</vt:lpstr>
      <vt:lpstr>OY2</vt:lpstr>
      <vt:lpstr>OY3</vt:lpstr>
      <vt:lpstr>OY4</vt:lpstr>
    </vt:vector>
  </TitlesOfParts>
  <Manager/>
  <Company>Department of Veterans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Template for Supplies-Equipment</dc:title>
  <dc:subject/>
  <dc:creator>VHAISPMORALC</dc:creator>
  <cp:keywords/>
  <dc:description/>
  <cp:lastModifiedBy>Ismail, Olalekan K</cp:lastModifiedBy>
  <cp:revision/>
  <cp:lastPrinted>2024-05-29T19:29:04Z</cp:lastPrinted>
  <dcterms:created xsi:type="dcterms:W3CDTF">2009-09-23T17:29:58Z</dcterms:created>
  <dcterms:modified xsi:type="dcterms:W3CDTF">2026-01-20T16:49:10Z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_DCDateModified">
    <vt:lpwstr/>
  </property>
  <property fmtid="{D5CDD505-2E9C-101B-9397-08002B2CF9AE}" pid="4" name="EmailTo">
    <vt:lpwstr/>
  </property>
  <property fmtid="{D5CDD505-2E9C-101B-9397-08002B2CF9AE}" pid="5" name="EmailSender">
    <vt:lpwstr/>
  </property>
  <property fmtid="{D5CDD505-2E9C-101B-9397-08002B2CF9AE}" pid="6" name="EmailFrom">
    <vt:lpwstr/>
  </property>
  <property fmtid="{D5CDD505-2E9C-101B-9397-08002B2CF9AE}" pid="7" name="EmailSubject">
    <vt:lpwstr/>
  </property>
  <property fmtid="{D5CDD505-2E9C-101B-9397-08002B2CF9AE}" pid="8" name="EmailCc">
    <vt:lpwstr/>
  </property>
  <property fmtid="{D5CDD505-2E9C-101B-9397-08002B2CF9AE}" pid="9" name="ContentTypeId">
    <vt:lpwstr>0x0101001063A610D434CB4EB1F214F200A641B6</vt:lpwstr>
  </property>
  <property fmtid="{D5CDD505-2E9C-101B-9397-08002B2CF9AE}" pid="10" name="Order">
    <vt:r8>26800</vt:r8>
  </property>
  <property fmtid="{D5CDD505-2E9C-101B-9397-08002B2CF9AE}" pid="11" name="_dlc_DocIdItemGuid">
    <vt:lpwstr>6f659abd-7578-42bb-92ce-463b9d2b654c</vt:lpwstr>
  </property>
</Properties>
</file>