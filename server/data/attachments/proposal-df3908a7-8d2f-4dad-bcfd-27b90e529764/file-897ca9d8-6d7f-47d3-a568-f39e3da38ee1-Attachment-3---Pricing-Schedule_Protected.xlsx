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sace-my.dps.mil/personal/lisa_i_ip_usace_army_mil/Documents/Desktop/Contracting/CVD Recreation Janitorial Services/Combined Synposis Solicitation/"/>
    </mc:Choice>
  </mc:AlternateContent>
  <xr:revisionPtr revIDLastSave="315" documentId="13_ncr:1_{54D7F92B-93DF-4664-852B-CA8A8F5EAB66}" xr6:coauthVersionLast="47" xr6:coauthVersionMax="47" xr10:uidLastSave="{C5692787-5217-4486-8A23-55B2A5990BB5}"/>
  <bookViews>
    <workbookView xWindow="-120" yWindow="-90" windowWidth="29040" windowHeight="15690" xr2:uid="{00000000-000D-0000-FFFF-FFFF00000000}"/>
  </bookViews>
  <sheets>
    <sheet name="Cost Details" sheetId="1" r:id="rId1"/>
  </sheets>
  <definedNames>
    <definedName name="_xlnm.Print_Area" localSheetId="0">'Cost Details'!$A$1:$F$126</definedName>
    <definedName name="_xlnm.Print_Titles" localSheetId="0">'Cost Details'!$2:$2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0" i="1" l="1"/>
  <c r="F119" i="1"/>
  <c r="F118" i="1"/>
  <c r="F116" i="1"/>
  <c r="F115" i="1"/>
  <c r="F114" i="1"/>
  <c r="F113" i="1"/>
  <c r="F102" i="1"/>
  <c r="F101" i="1"/>
  <c r="F100" i="1"/>
  <c r="F98" i="1"/>
  <c r="F97" i="1"/>
  <c r="F96" i="1"/>
  <c r="F95" i="1"/>
  <c r="F87" i="1"/>
  <c r="F86" i="1"/>
  <c r="F85" i="1"/>
  <c r="F81" i="1"/>
  <c r="F80" i="1"/>
  <c r="F79" i="1"/>
  <c r="F78" i="1"/>
  <c r="F74" i="1"/>
  <c r="F73" i="1"/>
  <c r="F72" i="1"/>
  <c r="F71" i="1"/>
  <c r="F67" i="1"/>
  <c r="F66" i="1"/>
  <c r="F65" i="1"/>
  <c r="F64" i="1"/>
  <c r="F58" i="1"/>
  <c r="F57" i="1"/>
  <c r="F56" i="1"/>
  <c r="F52" i="1"/>
  <c r="F51" i="1"/>
  <c r="F50" i="1"/>
  <c r="F49" i="1"/>
  <c r="F45" i="1"/>
  <c r="F44" i="1"/>
  <c r="F43" i="1"/>
  <c r="F42" i="1"/>
  <c r="F38" i="1"/>
  <c r="F37" i="1"/>
  <c r="F36" i="1"/>
  <c r="F35" i="1"/>
  <c r="F28" i="1"/>
  <c r="F27" i="1"/>
  <c r="F26" i="1"/>
  <c r="F22" i="1"/>
  <c r="F21" i="1"/>
  <c r="F20" i="1"/>
  <c r="F19" i="1"/>
  <c r="F15" i="1"/>
  <c r="F14" i="1"/>
  <c r="F13" i="1"/>
  <c r="F12" i="1"/>
  <c r="F6" i="1"/>
  <c r="F7" i="1"/>
  <c r="F8" i="1"/>
  <c r="F5" i="1"/>
  <c r="F121" i="1" l="1"/>
  <c r="E123" i="1" s="1"/>
  <c r="F123" i="1" s="1"/>
  <c r="F68" i="1"/>
  <c r="F103" i="1"/>
  <c r="F59" i="1"/>
  <c r="F75" i="1"/>
  <c r="F46" i="1"/>
  <c r="F39" i="1"/>
  <c r="F53" i="1"/>
  <c r="F82" i="1"/>
  <c r="F88" i="1"/>
  <c r="F29" i="1"/>
  <c r="F23" i="1"/>
  <c r="F16" i="1"/>
  <c r="F9" i="1"/>
  <c r="E111" i="1" l="1"/>
  <c r="F111" i="1" s="1"/>
  <c r="E105" i="1"/>
  <c r="F31" i="1"/>
  <c r="F61" i="1"/>
  <c r="E109" i="1"/>
  <c r="F109" i="1" s="1"/>
  <c r="F105" i="1"/>
  <c r="E107" i="1"/>
  <c r="F107" i="1" s="1"/>
  <c r="F90" i="1"/>
  <c r="F125" i="1" l="1"/>
</calcChain>
</file>

<file path=xl/sharedStrings.xml><?xml version="1.0" encoding="utf-8"?>
<sst xmlns="http://schemas.openxmlformats.org/spreadsheetml/2006/main" count="283" uniqueCount="101">
  <si>
    <t>0001</t>
  </si>
  <si>
    <t>0002</t>
  </si>
  <si>
    <t>0003</t>
  </si>
  <si>
    <t>0004</t>
  </si>
  <si>
    <t>Base Year</t>
  </si>
  <si>
    <t>Unit Price</t>
  </si>
  <si>
    <t>Amount</t>
  </si>
  <si>
    <t>Option Year 1</t>
  </si>
  <si>
    <t>Option Year 2</t>
  </si>
  <si>
    <t>0001AA</t>
  </si>
  <si>
    <t>Pomo Recreation Area</t>
  </si>
  <si>
    <t>0001AB</t>
  </si>
  <si>
    <t>0001AC</t>
  </si>
  <si>
    <t>Che Ka Ka Recreation Area</t>
  </si>
  <si>
    <t>Bushay Recreation Area</t>
  </si>
  <si>
    <t>0002AB</t>
  </si>
  <si>
    <t>0002AA</t>
  </si>
  <si>
    <t>0002AC</t>
  </si>
  <si>
    <t>1001</t>
  </si>
  <si>
    <t>1001AA</t>
  </si>
  <si>
    <t>1001AB</t>
  </si>
  <si>
    <t>1001AC</t>
  </si>
  <si>
    <t>1002</t>
  </si>
  <si>
    <t>1002AA</t>
  </si>
  <si>
    <t>1002AB</t>
  </si>
  <si>
    <t>1002AC</t>
  </si>
  <si>
    <t>1003</t>
  </si>
  <si>
    <t>2001</t>
  </si>
  <si>
    <t>2001AA</t>
  </si>
  <si>
    <t>2001AB</t>
  </si>
  <si>
    <t>2002</t>
  </si>
  <si>
    <t>2002AA</t>
  </si>
  <si>
    <t>2002AB</t>
  </si>
  <si>
    <t>2002AC</t>
  </si>
  <si>
    <t>2003</t>
  </si>
  <si>
    <t>2004</t>
  </si>
  <si>
    <t>TOTAL BASE YEAR:</t>
  </si>
  <si>
    <t>Kyen Recreation Area</t>
  </si>
  <si>
    <t>Subtotal:</t>
  </si>
  <si>
    <t>0002 AD</t>
  </si>
  <si>
    <t>0003AA</t>
  </si>
  <si>
    <t>0003AB</t>
  </si>
  <si>
    <t>0003AC</t>
  </si>
  <si>
    <t>0003AD</t>
  </si>
  <si>
    <t>0004AA</t>
  </si>
  <si>
    <t>0004AB</t>
  </si>
  <si>
    <t>0004AC</t>
  </si>
  <si>
    <t>Special Cleaning Service Trips</t>
  </si>
  <si>
    <t>Initial Cleaning Service Trip</t>
  </si>
  <si>
    <t>0001AD</t>
  </si>
  <si>
    <t>1001AD</t>
  </si>
  <si>
    <t>1003AA</t>
  </si>
  <si>
    <t>1003AB</t>
  </si>
  <si>
    <t>1003AC</t>
  </si>
  <si>
    <t>1003AD</t>
  </si>
  <si>
    <t>1004</t>
  </si>
  <si>
    <t>1004AA</t>
  </si>
  <si>
    <t>1004AB</t>
  </si>
  <si>
    <t>1004AC</t>
  </si>
  <si>
    <t>2001AD</t>
  </si>
  <si>
    <t>2003AA</t>
  </si>
  <si>
    <t>2003AB</t>
  </si>
  <si>
    <t>2003AC</t>
  </si>
  <si>
    <t>2003AD</t>
  </si>
  <si>
    <t>2004AA</t>
  </si>
  <si>
    <t>2004AB</t>
  </si>
  <si>
    <t>2004AC</t>
  </si>
  <si>
    <t>Recreation Area Janitorial Services Coyote Valley Dam &amp; Lake Mendocino</t>
  </si>
  <si>
    <t>Level 1 Cleaning Service Trip - Non-Peak Season</t>
  </si>
  <si>
    <t>Level 1 Cleaning Service Trip - Peak Season</t>
  </si>
  <si>
    <t xml:space="preserve">Restroom - (Flush Type) </t>
  </si>
  <si>
    <t>Restroom (Non‐ Flush Type)</t>
  </si>
  <si>
    <t>Showers</t>
  </si>
  <si>
    <t>TOTAL OPTION YEAR 1</t>
  </si>
  <si>
    <t>1002 AD</t>
  </si>
  <si>
    <t>2001AC</t>
  </si>
  <si>
    <t>2002 AD</t>
  </si>
  <si>
    <t>TOTAL OPTION YEAR 2</t>
  </si>
  <si>
    <t>Optional Extension under 52.217-8</t>
  </si>
  <si>
    <t>3001</t>
  </si>
  <si>
    <t>each</t>
  </si>
  <si>
    <t>months</t>
  </si>
  <si>
    <t>QTY</t>
  </si>
  <si>
    <t>UOM</t>
  </si>
  <si>
    <t>Total 3001:</t>
  </si>
  <si>
    <t>Job</t>
  </si>
  <si>
    <t>3002</t>
  </si>
  <si>
    <t>3003</t>
  </si>
  <si>
    <t>3004</t>
  </si>
  <si>
    <t>3005</t>
  </si>
  <si>
    <t>3006</t>
  </si>
  <si>
    <t>Contract Total (Base plus all options):</t>
  </si>
  <si>
    <t>First month extension (June)</t>
  </si>
  <si>
    <t>2nd month extension (July, same as first month)</t>
  </si>
  <si>
    <t>3rd month extension (August, same as first month)</t>
  </si>
  <si>
    <t>4th month extension (September, same as first month)</t>
  </si>
  <si>
    <t>Level 1 Cleaning Service Non - Peak Season</t>
  </si>
  <si>
    <t>5th month extension (October)</t>
  </si>
  <si>
    <t>Total 3005:</t>
  </si>
  <si>
    <t>6th month extension (November, same as CLIN 3005)</t>
  </si>
  <si>
    <t>W912P726QA006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</si>
</sst>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Fill="1"/>
    <xf numFmtId="0" fontId="2" fillId="0" borderId="0" xfId="0" applyFont="1" applyFill="1"/>
    <xf numFmtId="49" fontId="3" fillId="0" borderId="3" xfId="0" applyNumberFormat="1" applyFont="1" applyFill="1" applyBorder="1" applyAlignment="1" applyProtection="1">
      <alignment horizontal="left" vertical="center"/>
    </xf>
    <xf numFmtId="0" fontId="2" fillId="0" borderId="1" xfId="0" applyFont="1" applyFill="1" applyBorder="1" applyProtection="1"/>
    <xf numFmtId="0" fontId="3" fillId="0" borderId="1" xfId="0" applyFont="1" applyFill="1" applyBorder="1" applyProtection="1"/>
    <xf numFmtId="0" fontId="2" fillId="0" borderId="1" xfId="0" applyFont="1" applyFill="1" applyBorder="1" applyAlignment="1" applyProtection="1">
      <alignment horizontal="right"/>
    </xf>
    <xf numFmtId="44" fontId="2" fillId="0" borderId="4" xfId="0" applyNumberFormat="1" applyFont="1" applyFill="1" applyBorder="1" applyProtection="1"/>
    <xf numFmtId="0" fontId="2" fillId="0" borderId="4" xfId="0" applyFont="1" applyFill="1" applyBorder="1" applyProtection="1"/>
    <xf numFmtId="0" fontId="2" fillId="0" borderId="5" xfId="0" applyFont="1" applyFill="1" applyBorder="1" applyProtection="1"/>
    <xf numFmtId="0" fontId="2" fillId="0" borderId="6" xfId="0" applyFont="1" applyFill="1" applyBorder="1" applyProtection="1"/>
    <xf numFmtId="0" fontId="1" fillId="0" borderId="6" xfId="0" applyFont="1" applyFill="1" applyBorder="1" applyAlignment="1" applyProtection="1">
      <alignment horizontal="right"/>
    </xf>
    <xf numFmtId="44" fontId="1" fillId="0" borderId="7" xfId="0" applyNumberFormat="1" applyFont="1" applyFill="1" applyBorder="1" applyProtection="1"/>
    <xf numFmtId="0" fontId="2" fillId="0" borderId="0" xfId="0" applyFont="1" applyFill="1" applyProtection="1"/>
    <xf numFmtId="44" fontId="2" fillId="0" borderId="4" xfId="1" applyFont="1" applyFill="1" applyBorder="1" applyProtection="1"/>
    <xf numFmtId="49" fontId="3" fillId="0" borderId="3" xfId="0" applyNumberFormat="1" applyFont="1" applyFill="1" applyBorder="1" applyAlignment="1" applyProtection="1">
      <alignment horizontal="right" vertical="center"/>
    </xf>
    <xf numFmtId="0" fontId="2" fillId="0" borderId="1" xfId="0" applyFont="1" applyFill="1" applyBorder="1" applyAlignment="1" applyProtection="1">
      <alignment wrapText="1"/>
    </xf>
    <xf numFmtId="0" fontId="1" fillId="0" borderId="1" xfId="0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/>
    </xf>
    <xf numFmtId="0" fontId="1" fillId="0" borderId="1" xfId="0" applyFont="1" applyFill="1" applyBorder="1" applyProtection="1"/>
    <xf numFmtId="0" fontId="1" fillId="0" borderId="4" xfId="0" applyFont="1" applyFill="1" applyBorder="1" applyProtection="1"/>
    <xf numFmtId="0" fontId="2" fillId="0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vertical="center" wrapText="1"/>
    </xf>
    <xf numFmtId="0" fontId="1" fillId="0" borderId="4" xfId="0" applyFont="1" applyFill="1" applyBorder="1" applyAlignment="1" applyProtection="1">
      <alignment vertical="center" wrapText="1"/>
    </xf>
    <xf numFmtId="0" fontId="2" fillId="0" borderId="3" xfId="0" applyFont="1" applyFill="1" applyBorder="1" applyProtection="1"/>
    <xf numFmtId="0" fontId="1" fillId="0" borderId="1" xfId="0" applyFont="1" applyFill="1" applyBorder="1" applyAlignment="1" applyProtection="1">
      <alignment horizontal="center"/>
    </xf>
    <xf numFmtId="0" fontId="1" fillId="0" borderId="4" xfId="0" applyFont="1" applyFill="1" applyBorder="1" applyAlignment="1" applyProtection="1">
      <alignment horizontal="center"/>
    </xf>
    <xf numFmtId="0" fontId="1" fillId="0" borderId="0" xfId="0" applyFont="1" applyFill="1" applyProtection="1"/>
    <xf numFmtId="44" fontId="2" fillId="0" borderId="1" xfId="1" applyFont="1" applyFill="1" applyBorder="1" applyProtection="1">
      <protection locked="0"/>
    </xf>
    <xf numFmtId="49" fontId="4" fillId="0" borderId="3" xfId="0" applyNumberFormat="1" applyFont="1" applyFill="1" applyBorder="1" applyAlignment="1" applyProtection="1">
      <alignment horizontal="right" vertical="center"/>
    </xf>
    <xf numFmtId="0" fontId="4" fillId="0" borderId="1" xfId="0" applyFont="1" applyFill="1" applyBorder="1" applyProtection="1"/>
    <xf numFmtId="44" fontId="1" fillId="0" borderId="1" xfId="1" applyFont="1" applyFill="1" applyBorder="1" applyProtection="1">
      <protection locked="0"/>
    </xf>
    <xf numFmtId="44" fontId="1" fillId="0" borderId="4" xfId="1" applyFont="1" applyFill="1" applyBorder="1" applyProtection="1"/>
    <xf numFmtId="0" fontId="2" fillId="0" borderId="1" xfId="0" applyFont="1" applyFill="1" applyBorder="1" applyAlignment="1" applyProtection="1">
      <alignment vertical="center" wrapText="1"/>
    </xf>
    <xf numFmtId="0" fontId="6" fillId="0" borderId="1" xfId="0" applyFont="1" applyFill="1" applyBorder="1" applyProtection="1"/>
    <xf numFmtId="0" fontId="1" fillId="0" borderId="1" xfId="0" applyFont="1" applyFill="1" applyBorder="1" applyAlignment="1" applyProtection="1">
      <alignment horizontal="right"/>
    </xf>
    <xf numFmtId="44" fontId="1" fillId="0" borderId="4" xfId="0" applyNumberFormat="1" applyFont="1" applyFill="1" applyBorder="1" applyProtection="1"/>
    <xf numFmtId="0" fontId="1" fillId="2" borderId="2" xfId="0" applyFont="1" applyFill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center"/>
    </xf>
    <xf numFmtId="0" fontId="7" fillId="0" borderId="8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view="pageBreakPreview" topLeftCell="A108" zoomScaleNormal="100" zoomScaleSheetLayoutView="100" workbookViewId="0">
      <selection activeCell="J13" sqref="J13"/>
    </sheetView>
  </sheetViews>
  <sheetFormatPr defaultColWidth="9.140625" defaultRowHeight="14.25" x14ac:dyDescent="0.2"/>
  <cols>
    <col min="1" max="1" width="11.85546875" style="2" customWidth="1"/>
    <col min="2" max="2" width="39" style="2" customWidth="1"/>
    <col min="3" max="4" width="9.140625" style="2"/>
    <col min="5" max="5" width="14.42578125" style="2" customWidth="1"/>
    <col min="6" max="6" width="19" style="2" customWidth="1"/>
    <col min="7" max="16384" width="9.140625" style="2"/>
  </cols>
  <sheetData>
    <row r="1" spans="1:6" ht="15.75" x14ac:dyDescent="0.25">
      <c r="A1" s="39" t="s">
        <v>100</v>
      </c>
      <c r="B1" s="39"/>
      <c r="C1" s="39"/>
      <c r="D1" s="39"/>
      <c r="E1" s="39"/>
      <c r="F1" s="39"/>
    </row>
    <row r="2" spans="1:6" ht="15" x14ac:dyDescent="0.25">
      <c r="A2" s="38" t="s">
        <v>67</v>
      </c>
      <c r="B2" s="38"/>
      <c r="C2" s="38"/>
      <c r="D2" s="38"/>
      <c r="E2" s="38"/>
      <c r="F2" s="38"/>
    </row>
    <row r="3" spans="1:6" s="1" customFormat="1" ht="15" x14ac:dyDescent="0.25">
      <c r="A3" s="37" t="s">
        <v>4</v>
      </c>
      <c r="B3" s="37"/>
      <c r="C3" s="37"/>
      <c r="D3" s="37"/>
      <c r="E3" s="37"/>
      <c r="F3" s="37"/>
    </row>
    <row r="4" spans="1:6" ht="25.5" customHeight="1" x14ac:dyDescent="0.25">
      <c r="A4" s="18" t="s">
        <v>0</v>
      </c>
      <c r="B4" s="22" t="s">
        <v>48</v>
      </c>
      <c r="C4" s="25" t="s">
        <v>82</v>
      </c>
      <c r="D4" s="25" t="s">
        <v>83</v>
      </c>
      <c r="E4" s="25" t="s">
        <v>5</v>
      </c>
      <c r="F4" s="26" t="s">
        <v>6</v>
      </c>
    </row>
    <row r="5" spans="1:6" x14ac:dyDescent="0.2">
      <c r="A5" s="15" t="s">
        <v>9</v>
      </c>
      <c r="B5" s="21" t="s">
        <v>10</v>
      </c>
      <c r="C5" s="5">
        <v>2</v>
      </c>
      <c r="D5" s="5" t="s">
        <v>80</v>
      </c>
      <c r="E5" s="28"/>
      <c r="F5" s="14">
        <f>C5*E5</f>
        <v>0</v>
      </c>
    </row>
    <row r="6" spans="1:6" x14ac:dyDescent="0.2">
      <c r="A6" s="15" t="s">
        <v>11</v>
      </c>
      <c r="B6" s="21" t="s">
        <v>37</v>
      </c>
      <c r="C6" s="5">
        <v>2</v>
      </c>
      <c r="D6" s="5" t="s">
        <v>80</v>
      </c>
      <c r="E6" s="28"/>
      <c r="F6" s="14">
        <f t="shared" ref="F6:F8" si="0">C6*E6</f>
        <v>0</v>
      </c>
    </row>
    <row r="7" spans="1:6" x14ac:dyDescent="0.2">
      <c r="A7" s="15" t="s">
        <v>12</v>
      </c>
      <c r="B7" s="21" t="s">
        <v>13</v>
      </c>
      <c r="C7" s="5">
        <v>2</v>
      </c>
      <c r="D7" s="5" t="s">
        <v>80</v>
      </c>
      <c r="E7" s="28"/>
      <c r="F7" s="14">
        <f t="shared" si="0"/>
        <v>0</v>
      </c>
    </row>
    <row r="8" spans="1:6" x14ac:dyDescent="0.2">
      <c r="A8" s="15" t="s">
        <v>49</v>
      </c>
      <c r="B8" s="21" t="s">
        <v>14</v>
      </c>
      <c r="C8" s="5">
        <v>2</v>
      </c>
      <c r="D8" s="5" t="s">
        <v>80</v>
      </c>
      <c r="E8" s="28"/>
      <c r="F8" s="14">
        <f t="shared" si="0"/>
        <v>0</v>
      </c>
    </row>
    <row r="9" spans="1:6" s="1" customFormat="1" ht="15" x14ac:dyDescent="0.25">
      <c r="A9" s="24"/>
      <c r="B9" s="4"/>
      <c r="C9" s="4"/>
      <c r="D9" s="4"/>
      <c r="E9" s="6" t="s">
        <v>38</v>
      </c>
      <c r="F9" s="14">
        <f>SUM(F5:F8)</f>
        <v>0</v>
      </c>
    </row>
    <row r="10" spans="1:6" s="1" customFormat="1" ht="15" x14ac:dyDescent="0.25">
      <c r="A10" s="24"/>
      <c r="B10" s="4"/>
      <c r="C10" s="4"/>
      <c r="D10" s="4"/>
      <c r="E10" s="6"/>
      <c r="F10" s="14"/>
    </row>
    <row r="11" spans="1:6" ht="25.5" customHeight="1" x14ac:dyDescent="0.25">
      <c r="A11" s="18" t="s">
        <v>1</v>
      </c>
      <c r="B11" s="22" t="s">
        <v>68</v>
      </c>
      <c r="C11" s="25" t="s">
        <v>82</v>
      </c>
      <c r="D11" s="25" t="s">
        <v>83</v>
      </c>
      <c r="E11" s="25" t="s">
        <v>5</v>
      </c>
      <c r="F11" s="26" t="s">
        <v>6</v>
      </c>
    </row>
    <row r="12" spans="1:6" x14ac:dyDescent="0.2">
      <c r="A12" s="15" t="s">
        <v>16</v>
      </c>
      <c r="B12" s="21" t="s">
        <v>10</v>
      </c>
      <c r="C12" s="5">
        <v>7</v>
      </c>
      <c r="D12" s="5" t="s">
        <v>81</v>
      </c>
      <c r="E12" s="28"/>
      <c r="F12" s="14">
        <f>C12*E12</f>
        <v>0</v>
      </c>
    </row>
    <row r="13" spans="1:6" x14ac:dyDescent="0.2">
      <c r="A13" s="15" t="s">
        <v>15</v>
      </c>
      <c r="B13" s="21" t="s">
        <v>37</v>
      </c>
      <c r="C13" s="5">
        <v>7</v>
      </c>
      <c r="D13" s="5" t="s">
        <v>81</v>
      </c>
      <c r="E13" s="28"/>
      <c r="F13" s="14">
        <f t="shared" ref="F13:F15" si="1">C13*E13</f>
        <v>0</v>
      </c>
    </row>
    <row r="14" spans="1:6" x14ac:dyDescent="0.2">
      <c r="A14" s="15" t="s">
        <v>17</v>
      </c>
      <c r="B14" s="21" t="s">
        <v>13</v>
      </c>
      <c r="C14" s="5">
        <v>7</v>
      </c>
      <c r="D14" s="5" t="s">
        <v>81</v>
      </c>
      <c r="E14" s="28"/>
      <c r="F14" s="14">
        <f t="shared" si="1"/>
        <v>0</v>
      </c>
    </row>
    <row r="15" spans="1:6" x14ac:dyDescent="0.2">
      <c r="A15" s="15" t="s">
        <v>39</v>
      </c>
      <c r="B15" s="21" t="s">
        <v>14</v>
      </c>
      <c r="C15" s="5">
        <v>7</v>
      </c>
      <c r="D15" s="5" t="s">
        <v>81</v>
      </c>
      <c r="E15" s="28"/>
      <c r="F15" s="14">
        <f t="shared" si="1"/>
        <v>0</v>
      </c>
    </row>
    <row r="16" spans="1:6" ht="15" x14ac:dyDescent="0.2">
      <c r="A16" s="15"/>
      <c r="B16" s="17"/>
      <c r="C16" s="5"/>
      <c r="D16" s="5"/>
      <c r="E16" s="6" t="s">
        <v>38</v>
      </c>
      <c r="F16" s="14">
        <f>SUM(F12:F15)</f>
        <v>0</v>
      </c>
    </row>
    <row r="17" spans="1:6" ht="15" x14ac:dyDescent="0.2">
      <c r="A17" s="15"/>
      <c r="B17" s="17"/>
      <c r="C17" s="5"/>
      <c r="D17" s="5"/>
      <c r="E17" s="6"/>
      <c r="F17" s="14"/>
    </row>
    <row r="18" spans="1:6" ht="30" x14ac:dyDescent="0.25">
      <c r="A18" s="18" t="s">
        <v>2</v>
      </c>
      <c r="B18" s="22" t="s">
        <v>69</v>
      </c>
      <c r="C18" s="25" t="s">
        <v>82</v>
      </c>
      <c r="D18" s="25" t="s">
        <v>83</v>
      </c>
      <c r="E18" s="25" t="s">
        <v>5</v>
      </c>
      <c r="F18" s="20" t="s">
        <v>6</v>
      </c>
    </row>
    <row r="19" spans="1:6" x14ac:dyDescent="0.2">
      <c r="A19" s="15" t="s">
        <v>40</v>
      </c>
      <c r="B19" s="21" t="s">
        <v>10</v>
      </c>
      <c r="C19" s="5">
        <v>5</v>
      </c>
      <c r="D19" s="5" t="s">
        <v>81</v>
      </c>
      <c r="E19" s="28"/>
      <c r="F19" s="14">
        <f>C19*E19</f>
        <v>0</v>
      </c>
    </row>
    <row r="20" spans="1:6" x14ac:dyDescent="0.2">
      <c r="A20" s="15" t="s">
        <v>41</v>
      </c>
      <c r="B20" s="21" t="s">
        <v>37</v>
      </c>
      <c r="C20" s="5">
        <v>5</v>
      </c>
      <c r="D20" s="5" t="s">
        <v>81</v>
      </c>
      <c r="E20" s="28"/>
      <c r="F20" s="14">
        <f t="shared" ref="F20:F22" si="2">C20*E20</f>
        <v>0</v>
      </c>
    </row>
    <row r="21" spans="1:6" x14ac:dyDescent="0.2">
      <c r="A21" s="15" t="s">
        <v>42</v>
      </c>
      <c r="B21" s="21" t="s">
        <v>13</v>
      </c>
      <c r="C21" s="5">
        <v>5</v>
      </c>
      <c r="D21" s="5" t="s">
        <v>81</v>
      </c>
      <c r="E21" s="28"/>
      <c r="F21" s="14">
        <f t="shared" si="2"/>
        <v>0</v>
      </c>
    </row>
    <row r="22" spans="1:6" x14ac:dyDescent="0.2">
      <c r="A22" s="15" t="s">
        <v>43</v>
      </c>
      <c r="B22" s="21" t="s">
        <v>14</v>
      </c>
      <c r="C22" s="5">
        <v>5</v>
      </c>
      <c r="D22" s="5" t="s">
        <v>81</v>
      </c>
      <c r="E22" s="28"/>
      <c r="F22" s="14">
        <f t="shared" si="2"/>
        <v>0</v>
      </c>
    </row>
    <row r="23" spans="1:6" ht="15" x14ac:dyDescent="0.2">
      <c r="A23" s="15"/>
      <c r="B23" s="17"/>
      <c r="C23" s="5"/>
      <c r="D23" s="5"/>
      <c r="E23" s="6" t="s">
        <v>38</v>
      </c>
      <c r="F23" s="14">
        <f>SUM(F19:F22)</f>
        <v>0</v>
      </c>
    </row>
    <row r="24" spans="1:6" ht="15" x14ac:dyDescent="0.2">
      <c r="A24" s="15"/>
      <c r="B24" s="17"/>
      <c r="C24" s="5"/>
      <c r="D24" s="5"/>
      <c r="E24" s="6"/>
      <c r="F24" s="14"/>
    </row>
    <row r="25" spans="1:6" ht="15" x14ac:dyDescent="0.25">
      <c r="A25" s="18" t="s">
        <v>3</v>
      </c>
      <c r="B25" s="19" t="s">
        <v>47</v>
      </c>
      <c r="C25" s="25" t="s">
        <v>82</v>
      </c>
      <c r="D25" s="25" t="s">
        <v>83</v>
      </c>
      <c r="E25" s="25" t="s">
        <v>5</v>
      </c>
      <c r="F25" s="20" t="s">
        <v>6</v>
      </c>
    </row>
    <row r="26" spans="1:6" x14ac:dyDescent="0.2">
      <c r="A26" s="15" t="s">
        <v>44</v>
      </c>
      <c r="B26" s="16" t="s">
        <v>70</v>
      </c>
      <c r="C26" s="5">
        <v>54</v>
      </c>
      <c r="D26" s="5" t="s">
        <v>80</v>
      </c>
      <c r="E26" s="28"/>
      <c r="F26" s="14">
        <f t="shared" ref="F26:F28" si="3">C26*E26</f>
        <v>0</v>
      </c>
    </row>
    <row r="27" spans="1:6" x14ac:dyDescent="0.2">
      <c r="A27" s="15" t="s">
        <v>45</v>
      </c>
      <c r="B27" s="16" t="s">
        <v>71</v>
      </c>
      <c r="C27" s="5">
        <v>30</v>
      </c>
      <c r="D27" s="5" t="s">
        <v>80</v>
      </c>
      <c r="E27" s="28"/>
      <c r="F27" s="14">
        <f t="shared" si="3"/>
        <v>0</v>
      </c>
    </row>
    <row r="28" spans="1:6" x14ac:dyDescent="0.2">
      <c r="A28" s="15" t="s">
        <v>46</v>
      </c>
      <c r="B28" s="16" t="s">
        <v>72</v>
      </c>
      <c r="C28" s="5">
        <v>33</v>
      </c>
      <c r="D28" s="5" t="s">
        <v>80</v>
      </c>
      <c r="E28" s="28"/>
      <c r="F28" s="14">
        <f t="shared" si="3"/>
        <v>0</v>
      </c>
    </row>
    <row r="29" spans="1:6" x14ac:dyDescent="0.2">
      <c r="A29" s="3"/>
      <c r="B29" s="4"/>
      <c r="C29" s="5"/>
      <c r="D29" s="5"/>
      <c r="E29" s="6" t="s">
        <v>38</v>
      </c>
      <c r="F29" s="14">
        <f>SUM(F26:F28)</f>
        <v>0</v>
      </c>
    </row>
    <row r="30" spans="1:6" x14ac:dyDescent="0.2">
      <c r="A30" s="3"/>
      <c r="B30" s="4"/>
      <c r="C30" s="5"/>
      <c r="D30" s="5"/>
      <c r="E30" s="4"/>
      <c r="F30" s="8"/>
    </row>
    <row r="31" spans="1:6" ht="15.75" thickBot="1" x14ac:dyDescent="0.3">
      <c r="A31" s="9"/>
      <c r="B31" s="10"/>
      <c r="C31" s="10"/>
      <c r="D31" s="10"/>
      <c r="E31" s="11" t="s">
        <v>36</v>
      </c>
      <c r="F31" s="12">
        <f>F9+F16+F23+F29</f>
        <v>0</v>
      </c>
    </row>
    <row r="32" spans="1:6" ht="15" x14ac:dyDescent="0.25">
      <c r="A32" s="13"/>
      <c r="B32" s="13"/>
      <c r="C32" s="13"/>
      <c r="D32" s="13"/>
      <c r="E32" s="27"/>
      <c r="F32" s="13"/>
    </row>
    <row r="33" spans="1:6" ht="15" x14ac:dyDescent="0.25">
      <c r="A33" s="37" t="s">
        <v>7</v>
      </c>
      <c r="B33" s="37"/>
      <c r="C33" s="37"/>
      <c r="D33" s="37"/>
      <c r="E33" s="37"/>
      <c r="F33" s="37"/>
    </row>
    <row r="34" spans="1:6" ht="15" x14ac:dyDescent="0.25">
      <c r="A34" s="18" t="s">
        <v>18</v>
      </c>
      <c r="B34" s="22" t="s">
        <v>48</v>
      </c>
      <c r="C34" s="25" t="s">
        <v>82</v>
      </c>
      <c r="D34" s="25" t="s">
        <v>83</v>
      </c>
      <c r="E34" s="25" t="s">
        <v>5</v>
      </c>
      <c r="F34" s="26" t="s">
        <v>6</v>
      </c>
    </row>
    <row r="35" spans="1:6" ht="15" customHeight="1" x14ac:dyDescent="0.2">
      <c r="A35" s="15" t="s">
        <v>19</v>
      </c>
      <c r="B35" s="21" t="s">
        <v>10</v>
      </c>
      <c r="C35" s="5">
        <v>2</v>
      </c>
      <c r="D35" s="5" t="s">
        <v>80</v>
      </c>
      <c r="E35" s="28"/>
      <c r="F35" s="14">
        <f>C35*E35</f>
        <v>0</v>
      </c>
    </row>
    <row r="36" spans="1:6" x14ac:dyDescent="0.2">
      <c r="A36" s="15" t="s">
        <v>20</v>
      </c>
      <c r="B36" s="21" t="s">
        <v>37</v>
      </c>
      <c r="C36" s="5">
        <v>2</v>
      </c>
      <c r="D36" s="5" t="s">
        <v>80</v>
      </c>
      <c r="E36" s="28"/>
      <c r="F36" s="14">
        <f t="shared" ref="F36:F38" si="4">C36*E36</f>
        <v>0</v>
      </c>
    </row>
    <row r="37" spans="1:6" x14ac:dyDescent="0.2">
      <c r="A37" s="15" t="s">
        <v>21</v>
      </c>
      <c r="B37" s="21" t="s">
        <v>13</v>
      </c>
      <c r="C37" s="5">
        <v>2</v>
      </c>
      <c r="D37" s="5" t="s">
        <v>80</v>
      </c>
      <c r="E37" s="28"/>
      <c r="F37" s="14">
        <f t="shared" si="4"/>
        <v>0</v>
      </c>
    </row>
    <row r="38" spans="1:6" x14ac:dyDescent="0.2">
      <c r="A38" s="15" t="s">
        <v>50</v>
      </c>
      <c r="B38" s="21" t="s">
        <v>14</v>
      </c>
      <c r="C38" s="5">
        <v>2</v>
      </c>
      <c r="D38" s="5" t="s">
        <v>80</v>
      </c>
      <c r="E38" s="28"/>
      <c r="F38" s="14">
        <f t="shared" si="4"/>
        <v>0</v>
      </c>
    </row>
    <row r="39" spans="1:6" x14ac:dyDescent="0.2">
      <c r="A39" s="24"/>
      <c r="B39" s="4"/>
      <c r="C39" s="4"/>
      <c r="D39" s="4"/>
      <c r="E39" s="6" t="s">
        <v>38</v>
      </c>
      <c r="F39" s="14">
        <f>SUM(F35:F38)</f>
        <v>0</v>
      </c>
    </row>
    <row r="40" spans="1:6" x14ac:dyDescent="0.2">
      <c r="A40" s="24"/>
      <c r="B40" s="4"/>
      <c r="C40" s="4"/>
      <c r="D40" s="4"/>
      <c r="E40" s="6"/>
      <c r="F40" s="14"/>
    </row>
    <row r="41" spans="1:6" ht="30" x14ac:dyDescent="0.25">
      <c r="A41" s="18" t="s">
        <v>22</v>
      </c>
      <c r="B41" s="22" t="s">
        <v>68</v>
      </c>
      <c r="C41" s="25" t="s">
        <v>82</v>
      </c>
      <c r="D41" s="25" t="s">
        <v>83</v>
      </c>
      <c r="E41" s="25" t="s">
        <v>5</v>
      </c>
      <c r="F41" s="26" t="s">
        <v>6</v>
      </c>
    </row>
    <row r="42" spans="1:6" x14ac:dyDescent="0.2">
      <c r="A42" s="15" t="s">
        <v>23</v>
      </c>
      <c r="B42" s="21" t="s">
        <v>10</v>
      </c>
      <c r="C42" s="5">
        <v>7</v>
      </c>
      <c r="D42" s="5" t="s">
        <v>81</v>
      </c>
      <c r="E42" s="28"/>
      <c r="F42" s="14">
        <f>C42*E42</f>
        <v>0</v>
      </c>
    </row>
    <row r="43" spans="1:6" x14ac:dyDescent="0.2">
      <c r="A43" s="15" t="s">
        <v>24</v>
      </c>
      <c r="B43" s="21" t="s">
        <v>37</v>
      </c>
      <c r="C43" s="5">
        <v>7</v>
      </c>
      <c r="D43" s="5" t="s">
        <v>81</v>
      </c>
      <c r="E43" s="28"/>
      <c r="F43" s="14">
        <f t="shared" ref="F43:F45" si="5">C43*E43</f>
        <v>0</v>
      </c>
    </row>
    <row r="44" spans="1:6" x14ac:dyDescent="0.2">
      <c r="A44" s="15" t="s">
        <v>25</v>
      </c>
      <c r="B44" s="21" t="s">
        <v>13</v>
      </c>
      <c r="C44" s="5">
        <v>7</v>
      </c>
      <c r="D44" s="5" t="s">
        <v>81</v>
      </c>
      <c r="E44" s="28"/>
      <c r="F44" s="14">
        <f t="shared" si="5"/>
        <v>0</v>
      </c>
    </row>
    <row r="45" spans="1:6" x14ac:dyDescent="0.2">
      <c r="A45" s="15" t="s">
        <v>74</v>
      </c>
      <c r="B45" s="21" t="s">
        <v>14</v>
      </c>
      <c r="C45" s="5">
        <v>7</v>
      </c>
      <c r="D45" s="5" t="s">
        <v>81</v>
      </c>
      <c r="E45" s="28"/>
      <c r="F45" s="14">
        <f t="shared" si="5"/>
        <v>0</v>
      </c>
    </row>
    <row r="46" spans="1:6" ht="15" x14ac:dyDescent="0.2">
      <c r="A46" s="15"/>
      <c r="B46" s="17"/>
      <c r="C46" s="5"/>
      <c r="D46" s="5"/>
      <c r="E46" s="6" t="s">
        <v>38</v>
      </c>
      <c r="F46" s="14">
        <f>SUM(F42:F45)</f>
        <v>0</v>
      </c>
    </row>
    <row r="47" spans="1:6" ht="15" x14ac:dyDescent="0.2">
      <c r="A47" s="15"/>
      <c r="B47" s="17"/>
      <c r="C47" s="5"/>
      <c r="D47" s="5"/>
      <c r="E47" s="6"/>
      <c r="F47" s="14"/>
    </row>
    <row r="48" spans="1:6" ht="30" x14ac:dyDescent="0.25">
      <c r="A48" s="18" t="s">
        <v>26</v>
      </c>
      <c r="B48" s="22" t="s">
        <v>69</v>
      </c>
      <c r="C48" s="25" t="s">
        <v>82</v>
      </c>
      <c r="D48" s="25" t="s">
        <v>83</v>
      </c>
      <c r="E48" s="25" t="s">
        <v>5</v>
      </c>
      <c r="F48" s="20" t="s">
        <v>6</v>
      </c>
    </row>
    <row r="49" spans="1:6" x14ac:dyDescent="0.2">
      <c r="A49" s="15" t="s">
        <v>51</v>
      </c>
      <c r="B49" s="21" t="s">
        <v>10</v>
      </c>
      <c r="C49" s="5">
        <v>5</v>
      </c>
      <c r="D49" s="5" t="s">
        <v>81</v>
      </c>
      <c r="E49" s="28"/>
      <c r="F49" s="14">
        <f>C49*E49</f>
        <v>0</v>
      </c>
    </row>
    <row r="50" spans="1:6" x14ac:dyDescent="0.2">
      <c r="A50" s="15" t="s">
        <v>52</v>
      </c>
      <c r="B50" s="21" t="s">
        <v>37</v>
      </c>
      <c r="C50" s="5">
        <v>5</v>
      </c>
      <c r="D50" s="5" t="s">
        <v>81</v>
      </c>
      <c r="E50" s="28"/>
      <c r="F50" s="14">
        <f t="shared" ref="F50:F52" si="6">C50*E50</f>
        <v>0</v>
      </c>
    </row>
    <row r="51" spans="1:6" x14ac:dyDescent="0.2">
      <c r="A51" s="15" t="s">
        <v>53</v>
      </c>
      <c r="B51" s="21" t="s">
        <v>13</v>
      </c>
      <c r="C51" s="5">
        <v>5</v>
      </c>
      <c r="D51" s="5" t="s">
        <v>81</v>
      </c>
      <c r="E51" s="28"/>
      <c r="F51" s="14">
        <f t="shared" si="6"/>
        <v>0</v>
      </c>
    </row>
    <row r="52" spans="1:6" x14ac:dyDescent="0.2">
      <c r="A52" s="15" t="s">
        <v>54</v>
      </c>
      <c r="B52" s="21" t="s">
        <v>14</v>
      </c>
      <c r="C52" s="5">
        <v>5</v>
      </c>
      <c r="D52" s="5" t="s">
        <v>81</v>
      </c>
      <c r="E52" s="28"/>
      <c r="F52" s="14">
        <f t="shared" si="6"/>
        <v>0</v>
      </c>
    </row>
    <row r="53" spans="1:6" ht="15" x14ac:dyDescent="0.2">
      <c r="A53" s="15"/>
      <c r="B53" s="17"/>
      <c r="C53" s="5"/>
      <c r="D53" s="5"/>
      <c r="E53" s="6" t="s">
        <v>38</v>
      </c>
      <c r="F53" s="14">
        <f>SUM(F49:F52)</f>
        <v>0</v>
      </c>
    </row>
    <row r="54" spans="1:6" ht="15" x14ac:dyDescent="0.2">
      <c r="A54" s="15"/>
      <c r="B54" s="17"/>
      <c r="C54" s="5"/>
      <c r="D54" s="5"/>
      <c r="E54" s="6"/>
      <c r="F54" s="14"/>
    </row>
    <row r="55" spans="1:6" ht="15" x14ac:dyDescent="0.25">
      <c r="A55" s="18" t="s">
        <v>55</v>
      </c>
      <c r="B55" s="19" t="s">
        <v>47</v>
      </c>
      <c r="C55" s="25" t="s">
        <v>82</v>
      </c>
      <c r="D55" s="25" t="s">
        <v>83</v>
      </c>
      <c r="E55" s="25" t="s">
        <v>5</v>
      </c>
      <c r="F55" s="20" t="s">
        <v>6</v>
      </c>
    </row>
    <row r="56" spans="1:6" x14ac:dyDescent="0.2">
      <c r="A56" s="15" t="s">
        <v>56</v>
      </c>
      <c r="B56" s="16" t="s">
        <v>70</v>
      </c>
      <c r="C56" s="5">
        <v>54</v>
      </c>
      <c r="D56" s="5" t="s">
        <v>80</v>
      </c>
      <c r="E56" s="28"/>
      <c r="F56" s="14">
        <f t="shared" ref="F56:F58" si="7">C56*E56</f>
        <v>0</v>
      </c>
    </row>
    <row r="57" spans="1:6" x14ac:dyDescent="0.2">
      <c r="A57" s="15" t="s">
        <v>57</v>
      </c>
      <c r="B57" s="16" t="s">
        <v>71</v>
      </c>
      <c r="C57" s="5">
        <v>30</v>
      </c>
      <c r="D57" s="5" t="s">
        <v>80</v>
      </c>
      <c r="E57" s="28"/>
      <c r="F57" s="14">
        <f t="shared" si="7"/>
        <v>0</v>
      </c>
    </row>
    <row r="58" spans="1:6" x14ac:dyDescent="0.2">
      <c r="A58" s="15" t="s">
        <v>58</v>
      </c>
      <c r="B58" s="16" t="s">
        <v>72</v>
      </c>
      <c r="C58" s="5">
        <v>33</v>
      </c>
      <c r="D58" s="5" t="s">
        <v>80</v>
      </c>
      <c r="E58" s="28"/>
      <c r="F58" s="14">
        <f t="shared" si="7"/>
        <v>0</v>
      </c>
    </row>
    <row r="59" spans="1:6" x14ac:dyDescent="0.2">
      <c r="A59" s="3"/>
      <c r="B59" s="4"/>
      <c r="C59" s="5"/>
      <c r="D59" s="5"/>
      <c r="E59" s="6" t="s">
        <v>38</v>
      </c>
      <c r="F59" s="14">
        <f>SUM(F56:F58)</f>
        <v>0</v>
      </c>
    </row>
    <row r="60" spans="1:6" x14ac:dyDescent="0.2">
      <c r="A60" s="3"/>
      <c r="B60" s="4"/>
      <c r="C60" s="5"/>
      <c r="D60" s="5"/>
      <c r="E60" s="4"/>
      <c r="F60" s="8"/>
    </row>
    <row r="61" spans="1:6" ht="15.75" thickBot="1" x14ac:dyDescent="0.3">
      <c r="A61" s="9"/>
      <c r="B61" s="10"/>
      <c r="C61" s="10"/>
      <c r="D61" s="10"/>
      <c r="E61" s="11" t="s">
        <v>73</v>
      </c>
      <c r="F61" s="12">
        <f>F39+F46+F53+F59</f>
        <v>0</v>
      </c>
    </row>
    <row r="62" spans="1:6" ht="15" x14ac:dyDescent="0.25">
      <c r="A62" s="37" t="s">
        <v>8</v>
      </c>
      <c r="B62" s="37"/>
      <c r="C62" s="37"/>
      <c r="D62" s="37"/>
      <c r="E62" s="37"/>
      <c r="F62" s="37"/>
    </row>
    <row r="63" spans="1:6" ht="15" x14ac:dyDescent="0.25">
      <c r="A63" s="18" t="s">
        <v>27</v>
      </c>
      <c r="B63" s="22" t="s">
        <v>48</v>
      </c>
      <c r="C63" s="25" t="s">
        <v>82</v>
      </c>
      <c r="D63" s="25" t="s">
        <v>83</v>
      </c>
      <c r="E63" s="25" t="s">
        <v>5</v>
      </c>
      <c r="F63" s="26" t="s">
        <v>6</v>
      </c>
    </row>
    <row r="64" spans="1:6" x14ac:dyDescent="0.2">
      <c r="A64" s="15" t="s">
        <v>28</v>
      </c>
      <c r="B64" s="21" t="s">
        <v>10</v>
      </c>
      <c r="C64" s="5">
        <v>2</v>
      </c>
      <c r="D64" s="5" t="s">
        <v>80</v>
      </c>
      <c r="E64" s="28"/>
      <c r="F64" s="14">
        <f>C64*E64</f>
        <v>0</v>
      </c>
    </row>
    <row r="65" spans="1:6" x14ac:dyDescent="0.2">
      <c r="A65" s="15" t="s">
        <v>29</v>
      </c>
      <c r="B65" s="21" t="s">
        <v>37</v>
      </c>
      <c r="C65" s="5">
        <v>2</v>
      </c>
      <c r="D65" s="5" t="s">
        <v>80</v>
      </c>
      <c r="E65" s="28"/>
      <c r="F65" s="14">
        <f t="shared" ref="F65:F67" si="8">C65*E65</f>
        <v>0</v>
      </c>
    </row>
    <row r="66" spans="1:6" x14ac:dyDescent="0.2">
      <c r="A66" s="15" t="s">
        <v>75</v>
      </c>
      <c r="B66" s="21" t="s">
        <v>13</v>
      </c>
      <c r="C66" s="5">
        <v>2</v>
      </c>
      <c r="D66" s="5" t="s">
        <v>80</v>
      </c>
      <c r="E66" s="28"/>
      <c r="F66" s="14">
        <f t="shared" si="8"/>
        <v>0</v>
      </c>
    </row>
    <row r="67" spans="1:6" x14ac:dyDescent="0.2">
      <c r="A67" s="15" t="s">
        <v>59</v>
      </c>
      <c r="B67" s="21" t="s">
        <v>14</v>
      </c>
      <c r="C67" s="5">
        <v>2</v>
      </c>
      <c r="D67" s="5" t="s">
        <v>80</v>
      </c>
      <c r="E67" s="28"/>
      <c r="F67" s="14">
        <f t="shared" si="8"/>
        <v>0</v>
      </c>
    </row>
    <row r="68" spans="1:6" x14ac:dyDescent="0.2">
      <c r="A68" s="24"/>
      <c r="B68" s="4"/>
      <c r="C68" s="4"/>
      <c r="D68" s="4"/>
      <c r="E68" s="6" t="s">
        <v>38</v>
      </c>
      <c r="F68" s="14">
        <f>SUM(F64:F67)</f>
        <v>0</v>
      </c>
    </row>
    <row r="69" spans="1:6" x14ac:dyDescent="0.2">
      <c r="A69" s="24"/>
      <c r="B69" s="4"/>
      <c r="C69" s="4"/>
      <c r="D69" s="4"/>
      <c r="E69" s="6"/>
      <c r="F69" s="14"/>
    </row>
    <row r="70" spans="1:6" ht="30" x14ac:dyDescent="0.25">
      <c r="A70" s="18" t="s">
        <v>30</v>
      </c>
      <c r="B70" s="22" t="s">
        <v>68</v>
      </c>
      <c r="C70" s="25" t="s">
        <v>82</v>
      </c>
      <c r="D70" s="25" t="s">
        <v>83</v>
      </c>
      <c r="E70" s="25" t="s">
        <v>5</v>
      </c>
      <c r="F70" s="26" t="s">
        <v>6</v>
      </c>
    </row>
    <row r="71" spans="1:6" x14ac:dyDescent="0.2">
      <c r="A71" s="15" t="s">
        <v>31</v>
      </c>
      <c r="B71" s="21" t="s">
        <v>10</v>
      </c>
      <c r="C71" s="5">
        <v>7</v>
      </c>
      <c r="D71" s="5" t="s">
        <v>81</v>
      </c>
      <c r="E71" s="28"/>
      <c r="F71" s="14">
        <f>C71*E71</f>
        <v>0</v>
      </c>
    </row>
    <row r="72" spans="1:6" x14ac:dyDescent="0.2">
      <c r="A72" s="15" t="s">
        <v>32</v>
      </c>
      <c r="B72" s="21" t="s">
        <v>37</v>
      </c>
      <c r="C72" s="5">
        <v>7</v>
      </c>
      <c r="D72" s="5" t="s">
        <v>81</v>
      </c>
      <c r="E72" s="28"/>
      <c r="F72" s="14">
        <f t="shared" ref="F72:F74" si="9">C72*E72</f>
        <v>0</v>
      </c>
    </row>
    <row r="73" spans="1:6" x14ac:dyDescent="0.2">
      <c r="A73" s="15" t="s">
        <v>33</v>
      </c>
      <c r="B73" s="21" t="s">
        <v>13</v>
      </c>
      <c r="C73" s="5">
        <v>7</v>
      </c>
      <c r="D73" s="5" t="s">
        <v>81</v>
      </c>
      <c r="E73" s="28"/>
      <c r="F73" s="14">
        <f t="shared" si="9"/>
        <v>0</v>
      </c>
    </row>
    <row r="74" spans="1:6" x14ac:dyDescent="0.2">
      <c r="A74" s="15" t="s">
        <v>76</v>
      </c>
      <c r="B74" s="21" t="s">
        <v>14</v>
      </c>
      <c r="C74" s="5">
        <v>7</v>
      </c>
      <c r="D74" s="5" t="s">
        <v>81</v>
      </c>
      <c r="E74" s="28"/>
      <c r="F74" s="14">
        <f t="shared" si="9"/>
        <v>0</v>
      </c>
    </row>
    <row r="75" spans="1:6" ht="15" x14ac:dyDescent="0.2">
      <c r="A75" s="15"/>
      <c r="B75" s="17"/>
      <c r="C75" s="5"/>
      <c r="D75" s="5"/>
      <c r="E75" s="6" t="s">
        <v>38</v>
      </c>
      <c r="F75" s="14">
        <f>SUM(F71:F74)</f>
        <v>0</v>
      </c>
    </row>
    <row r="76" spans="1:6" ht="15" x14ac:dyDescent="0.2">
      <c r="A76" s="15"/>
      <c r="B76" s="17"/>
      <c r="C76" s="5"/>
      <c r="D76" s="5"/>
      <c r="E76" s="6"/>
      <c r="F76" s="14"/>
    </row>
    <row r="77" spans="1:6" ht="30" x14ac:dyDescent="0.25">
      <c r="A77" s="18" t="s">
        <v>34</v>
      </c>
      <c r="B77" s="22" t="s">
        <v>69</v>
      </c>
      <c r="C77" s="25" t="s">
        <v>82</v>
      </c>
      <c r="D77" s="25" t="s">
        <v>83</v>
      </c>
      <c r="E77" s="25" t="s">
        <v>5</v>
      </c>
      <c r="F77" s="20" t="s">
        <v>6</v>
      </c>
    </row>
    <row r="78" spans="1:6" x14ac:dyDescent="0.2">
      <c r="A78" s="15" t="s">
        <v>60</v>
      </c>
      <c r="B78" s="21" t="s">
        <v>10</v>
      </c>
      <c r="C78" s="5">
        <v>5</v>
      </c>
      <c r="D78" s="5" t="s">
        <v>81</v>
      </c>
      <c r="E78" s="28"/>
      <c r="F78" s="14">
        <f>C78*E78</f>
        <v>0</v>
      </c>
    </row>
    <row r="79" spans="1:6" x14ac:dyDescent="0.2">
      <c r="A79" s="15" t="s">
        <v>61</v>
      </c>
      <c r="B79" s="21" t="s">
        <v>37</v>
      </c>
      <c r="C79" s="5">
        <v>5</v>
      </c>
      <c r="D79" s="5" t="s">
        <v>81</v>
      </c>
      <c r="E79" s="28"/>
      <c r="F79" s="14">
        <f t="shared" ref="F79:F81" si="10">C79*E79</f>
        <v>0</v>
      </c>
    </row>
    <row r="80" spans="1:6" x14ac:dyDescent="0.2">
      <c r="A80" s="15" t="s">
        <v>62</v>
      </c>
      <c r="B80" s="21" t="s">
        <v>13</v>
      </c>
      <c r="C80" s="5">
        <v>5</v>
      </c>
      <c r="D80" s="5" t="s">
        <v>81</v>
      </c>
      <c r="E80" s="28"/>
      <c r="F80" s="14">
        <f t="shared" si="10"/>
        <v>0</v>
      </c>
    </row>
    <row r="81" spans="1:6" x14ac:dyDescent="0.2">
      <c r="A81" s="15" t="s">
        <v>63</v>
      </c>
      <c r="B81" s="21" t="s">
        <v>14</v>
      </c>
      <c r="C81" s="5">
        <v>5</v>
      </c>
      <c r="D81" s="5" t="s">
        <v>81</v>
      </c>
      <c r="E81" s="28"/>
      <c r="F81" s="14">
        <f t="shared" si="10"/>
        <v>0</v>
      </c>
    </row>
    <row r="82" spans="1:6" ht="15" x14ac:dyDescent="0.2">
      <c r="A82" s="15"/>
      <c r="B82" s="17"/>
      <c r="C82" s="5"/>
      <c r="D82" s="5"/>
      <c r="E82" s="6" t="s">
        <v>38</v>
      </c>
      <c r="F82" s="14">
        <f>SUM(F78:F81)</f>
        <v>0</v>
      </c>
    </row>
    <row r="83" spans="1:6" ht="15" x14ac:dyDescent="0.2">
      <c r="A83" s="15"/>
      <c r="B83" s="17"/>
      <c r="C83" s="5"/>
      <c r="D83" s="5"/>
      <c r="E83" s="6"/>
      <c r="F83" s="14"/>
    </row>
    <row r="84" spans="1:6" ht="15" x14ac:dyDescent="0.25">
      <c r="A84" s="18" t="s">
        <v>35</v>
      </c>
      <c r="B84" s="19" t="s">
        <v>47</v>
      </c>
      <c r="C84" s="25" t="s">
        <v>82</v>
      </c>
      <c r="D84" s="25" t="s">
        <v>83</v>
      </c>
      <c r="E84" s="25" t="s">
        <v>5</v>
      </c>
      <c r="F84" s="20" t="s">
        <v>6</v>
      </c>
    </row>
    <row r="85" spans="1:6" x14ac:dyDescent="0.2">
      <c r="A85" s="15" t="s">
        <v>64</v>
      </c>
      <c r="B85" s="16" t="s">
        <v>70</v>
      </c>
      <c r="C85" s="5">
        <v>54</v>
      </c>
      <c r="D85" s="5" t="s">
        <v>80</v>
      </c>
      <c r="E85" s="28"/>
      <c r="F85" s="14">
        <f t="shared" ref="F85:F87" si="11">C85*E85</f>
        <v>0</v>
      </c>
    </row>
    <row r="86" spans="1:6" x14ac:dyDescent="0.2">
      <c r="A86" s="15" t="s">
        <v>65</v>
      </c>
      <c r="B86" s="16" t="s">
        <v>71</v>
      </c>
      <c r="C86" s="5">
        <v>30</v>
      </c>
      <c r="D86" s="5" t="s">
        <v>80</v>
      </c>
      <c r="E86" s="28"/>
      <c r="F86" s="14">
        <f t="shared" si="11"/>
        <v>0</v>
      </c>
    </row>
    <row r="87" spans="1:6" x14ac:dyDescent="0.2">
      <c r="A87" s="15" t="s">
        <v>66</v>
      </c>
      <c r="B87" s="16" t="s">
        <v>72</v>
      </c>
      <c r="C87" s="5">
        <v>33</v>
      </c>
      <c r="D87" s="5" t="s">
        <v>80</v>
      </c>
      <c r="E87" s="28"/>
      <c r="F87" s="14">
        <f t="shared" si="11"/>
        <v>0</v>
      </c>
    </row>
    <row r="88" spans="1:6" x14ac:dyDescent="0.2">
      <c r="A88" s="3"/>
      <c r="B88" s="4"/>
      <c r="C88" s="5"/>
      <c r="D88" s="5"/>
      <c r="E88" s="6" t="s">
        <v>38</v>
      </c>
      <c r="F88" s="14">
        <f>SUM(F85:F87)</f>
        <v>0</v>
      </c>
    </row>
    <row r="89" spans="1:6" x14ac:dyDescent="0.2">
      <c r="A89" s="3"/>
      <c r="B89" s="4"/>
      <c r="C89" s="5"/>
      <c r="D89" s="5"/>
      <c r="E89" s="4"/>
      <c r="F89" s="8"/>
    </row>
    <row r="90" spans="1:6" ht="15.75" thickBot="1" x14ac:dyDescent="0.3">
      <c r="A90" s="9"/>
      <c r="B90" s="10"/>
      <c r="C90" s="10"/>
      <c r="D90" s="10"/>
      <c r="E90" s="11" t="s">
        <v>77</v>
      </c>
      <c r="F90" s="12">
        <f>F68+F75+F82+F88</f>
        <v>0</v>
      </c>
    </row>
    <row r="91" spans="1:6" ht="15" x14ac:dyDescent="0.2">
      <c r="A91" s="15"/>
      <c r="B91" s="17"/>
      <c r="C91" s="5"/>
      <c r="D91" s="5"/>
      <c r="E91" s="6"/>
      <c r="F91" s="7"/>
    </row>
    <row r="92" spans="1:6" ht="15" x14ac:dyDescent="0.2">
      <c r="A92" s="18" t="s">
        <v>78</v>
      </c>
      <c r="B92" s="22"/>
      <c r="C92" s="22"/>
      <c r="D92" s="22"/>
      <c r="E92" s="22"/>
      <c r="F92" s="23"/>
    </row>
    <row r="93" spans="1:6" s="1" customFormat="1" ht="15" x14ac:dyDescent="0.25">
      <c r="A93" s="29" t="s">
        <v>79</v>
      </c>
      <c r="B93" s="17" t="s">
        <v>92</v>
      </c>
      <c r="C93" s="25" t="s">
        <v>82</v>
      </c>
      <c r="D93" s="25" t="s">
        <v>83</v>
      </c>
      <c r="E93" s="25" t="s">
        <v>5</v>
      </c>
      <c r="F93" s="32"/>
    </row>
    <row r="94" spans="1:6" ht="30" x14ac:dyDescent="0.2">
      <c r="A94" s="15"/>
      <c r="B94" s="22" t="s">
        <v>69</v>
      </c>
      <c r="C94" s="5"/>
      <c r="D94" s="5"/>
      <c r="E94" s="28"/>
      <c r="F94" s="14"/>
    </row>
    <row r="95" spans="1:6" x14ac:dyDescent="0.2">
      <c r="A95" s="15"/>
      <c r="B95" s="21" t="s">
        <v>10</v>
      </c>
      <c r="C95" s="5">
        <v>1</v>
      </c>
      <c r="D95" s="5" t="s">
        <v>81</v>
      </c>
      <c r="E95" s="28"/>
      <c r="F95" s="14">
        <f t="shared" ref="F95:F98" si="12">C95*E95</f>
        <v>0</v>
      </c>
    </row>
    <row r="96" spans="1:6" x14ac:dyDescent="0.2">
      <c r="A96" s="15"/>
      <c r="B96" s="21" t="s">
        <v>37</v>
      </c>
      <c r="C96" s="5">
        <v>1</v>
      </c>
      <c r="D96" s="5" t="s">
        <v>81</v>
      </c>
      <c r="E96" s="28"/>
      <c r="F96" s="14">
        <f t="shared" si="12"/>
        <v>0</v>
      </c>
    </row>
    <row r="97" spans="1:6" x14ac:dyDescent="0.2">
      <c r="A97" s="15"/>
      <c r="B97" s="21" t="s">
        <v>13</v>
      </c>
      <c r="C97" s="5">
        <v>1</v>
      </c>
      <c r="D97" s="5" t="s">
        <v>81</v>
      </c>
      <c r="E97" s="28"/>
      <c r="F97" s="14">
        <f t="shared" si="12"/>
        <v>0</v>
      </c>
    </row>
    <row r="98" spans="1:6" ht="15" x14ac:dyDescent="0.2">
      <c r="A98" s="18"/>
      <c r="B98" s="21" t="s">
        <v>14</v>
      </c>
      <c r="C98" s="33">
        <v>1</v>
      </c>
      <c r="D98" s="5" t="s">
        <v>81</v>
      </c>
      <c r="E98" s="28"/>
      <c r="F98" s="14">
        <f t="shared" si="12"/>
        <v>0</v>
      </c>
    </row>
    <row r="99" spans="1:6" x14ac:dyDescent="0.2">
      <c r="A99" s="15"/>
      <c r="B99" s="34" t="s">
        <v>47</v>
      </c>
      <c r="C99" s="5"/>
      <c r="D99" s="5"/>
      <c r="E99" s="28"/>
      <c r="F99" s="14"/>
    </row>
    <row r="100" spans="1:6" x14ac:dyDescent="0.2">
      <c r="A100" s="15"/>
      <c r="B100" s="16" t="s">
        <v>70</v>
      </c>
      <c r="C100" s="5">
        <v>5</v>
      </c>
      <c r="D100" s="5" t="s">
        <v>80</v>
      </c>
      <c r="E100" s="28"/>
      <c r="F100" s="14">
        <f t="shared" ref="F100:F102" si="13">C100*E100</f>
        <v>0</v>
      </c>
    </row>
    <row r="101" spans="1:6" x14ac:dyDescent="0.2">
      <c r="A101" s="15"/>
      <c r="B101" s="16" t="s">
        <v>71</v>
      </c>
      <c r="C101" s="5">
        <v>3</v>
      </c>
      <c r="D101" s="5" t="s">
        <v>80</v>
      </c>
      <c r="E101" s="28"/>
      <c r="F101" s="14">
        <f t="shared" si="13"/>
        <v>0</v>
      </c>
    </row>
    <row r="102" spans="1:6" x14ac:dyDescent="0.2">
      <c r="A102" s="15"/>
      <c r="B102" s="16" t="s">
        <v>72</v>
      </c>
      <c r="C102" s="5">
        <v>3</v>
      </c>
      <c r="D102" s="5" t="s">
        <v>80</v>
      </c>
      <c r="E102" s="28"/>
      <c r="F102" s="14">
        <f t="shared" si="13"/>
        <v>0</v>
      </c>
    </row>
    <row r="103" spans="1:6" ht="15" x14ac:dyDescent="0.25">
      <c r="A103" s="15"/>
      <c r="B103" s="17"/>
      <c r="C103" s="5"/>
      <c r="D103" s="5"/>
      <c r="E103" s="35" t="s">
        <v>84</v>
      </c>
      <c r="F103" s="36">
        <f>SUM(F94:F102)</f>
        <v>0</v>
      </c>
    </row>
    <row r="104" spans="1:6" ht="15" x14ac:dyDescent="0.2">
      <c r="A104" s="18"/>
      <c r="B104" s="22"/>
      <c r="C104" s="22"/>
      <c r="D104" s="22"/>
      <c r="E104" s="22"/>
      <c r="F104" s="23"/>
    </row>
    <row r="105" spans="1:6" s="1" customFormat="1" ht="30" x14ac:dyDescent="0.25">
      <c r="A105" s="29" t="s">
        <v>86</v>
      </c>
      <c r="B105" s="17" t="s">
        <v>93</v>
      </c>
      <c r="C105" s="30">
        <v>1</v>
      </c>
      <c r="D105" s="30" t="s">
        <v>85</v>
      </c>
      <c r="E105" s="31">
        <f>$F$103</f>
        <v>0</v>
      </c>
      <c r="F105" s="32">
        <f t="shared" ref="F105" si="14">C105*E105</f>
        <v>0</v>
      </c>
    </row>
    <row r="106" spans="1:6" x14ac:dyDescent="0.2">
      <c r="A106" s="15"/>
      <c r="B106" s="21"/>
      <c r="C106" s="5"/>
      <c r="D106" s="5"/>
      <c r="E106" s="28"/>
      <c r="F106" s="14"/>
    </row>
    <row r="107" spans="1:6" s="1" customFormat="1" ht="30" x14ac:dyDescent="0.25">
      <c r="A107" s="29" t="s">
        <v>87</v>
      </c>
      <c r="B107" s="17" t="s">
        <v>94</v>
      </c>
      <c r="C107" s="30">
        <v>1</v>
      </c>
      <c r="D107" s="30" t="s">
        <v>85</v>
      </c>
      <c r="E107" s="31">
        <f>$F$103</f>
        <v>0</v>
      </c>
      <c r="F107" s="32">
        <f t="shared" ref="F107" si="15">C107*E107</f>
        <v>0</v>
      </c>
    </row>
    <row r="108" spans="1:6" x14ac:dyDescent="0.2">
      <c r="A108" s="15"/>
      <c r="B108" s="21"/>
      <c r="C108" s="5"/>
      <c r="D108" s="5"/>
      <c r="E108" s="28"/>
      <c r="F108" s="14"/>
    </row>
    <row r="109" spans="1:6" s="1" customFormat="1" ht="30" x14ac:dyDescent="0.25">
      <c r="A109" s="29" t="s">
        <v>88</v>
      </c>
      <c r="B109" s="17" t="s">
        <v>95</v>
      </c>
      <c r="C109" s="30">
        <v>1</v>
      </c>
      <c r="D109" s="30" t="s">
        <v>85</v>
      </c>
      <c r="E109" s="31">
        <f>$F$103</f>
        <v>0</v>
      </c>
      <c r="F109" s="32">
        <f t="shared" ref="F109" si="16">C109*E109</f>
        <v>0</v>
      </c>
    </row>
    <row r="110" spans="1:6" ht="15" x14ac:dyDescent="0.25">
      <c r="A110" s="18"/>
      <c r="B110" s="19"/>
      <c r="C110" s="19"/>
      <c r="D110" s="19"/>
      <c r="E110" s="19"/>
      <c r="F110" s="20"/>
    </row>
    <row r="111" spans="1:6" s="1" customFormat="1" ht="15" x14ac:dyDescent="0.25">
      <c r="A111" s="29" t="s">
        <v>89</v>
      </c>
      <c r="B111" s="17" t="s">
        <v>97</v>
      </c>
      <c r="C111" s="30">
        <v>1</v>
      </c>
      <c r="D111" s="30" t="s">
        <v>85</v>
      </c>
      <c r="E111" s="31">
        <f>$F$103</f>
        <v>0</v>
      </c>
      <c r="F111" s="32">
        <f t="shared" ref="F111" si="17">C111*E111</f>
        <v>0</v>
      </c>
    </row>
    <row r="112" spans="1:6" s="1" customFormat="1" ht="30" x14ac:dyDescent="0.25">
      <c r="A112" s="29"/>
      <c r="B112" s="22" t="s">
        <v>96</v>
      </c>
      <c r="C112" s="5"/>
      <c r="D112" s="5"/>
      <c r="E112" s="28"/>
      <c r="F112" s="14"/>
    </row>
    <row r="113" spans="1:6" s="1" customFormat="1" ht="15" x14ac:dyDescent="0.25">
      <c r="A113" s="29"/>
      <c r="B113" s="21" t="s">
        <v>10</v>
      </c>
      <c r="C113" s="5">
        <v>1</v>
      </c>
      <c r="D113" s="5" t="s">
        <v>81</v>
      </c>
      <c r="E113" s="28"/>
      <c r="F113" s="14">
        <f t="shared" ref="F113:F116" si="18">C113*E113</f>
        <v>0</v>
      </c>
    </row>
    <row r="114" spans="1:6" s="1" customFormat="1" ht="15" x14ac:dyDescent="0.25">
      <c r="A114" s="29"/>
      <c r="B114" s="21" t="s">
        <v>37</v>
      </c>
      <c r="C114" s="5">
        <v>1</v>
      </c>
      <c r="D114" s="5" t="s">
        <v>81</v>
      </c>
      <c r="E114" s="28"/>
      <c r="F114" s="14">
        <f t="shared" si="18"/>
        <v>0</v>
      </c>
    </row>
    <row r="115" spans="1:6" s="1" customFormat="1" ht="15" x14ac:dyDescent="0.25">
      <c r="A115" s="29"/>
      <c r="B115" s="21" t="s">
        <v>13</v>
      </c>
      <c r="C115" s="5">
        <v>1</v>
      </c>
      <c r="D115" s="5" t="s">
        <v>81</v>
      </c>
      <c r="E115" s="28"/>
      <c r="F115" s="14">
        <f t="shared" si="18"/>
        <v>0</v>
      </c>
    </row>
    <row r="116" spans="1:6" s="1" customFormat="1" ht="15" x14ac:dyDescent="0.25">
      <c r="A116" s="29"/>
      <c r="B116" s="21" t="s">
        <v>14</v>
      </c>
      <c r="C116" s="33">
        <v>1</v>
      </c>
      <c r="D116" s="5" t="s">
        <v>81</v>
      </c>
      <c r="E116" s="28"/>
      <c r="F116" s="14">
        <f t="shared" si="18"/>
        <v>0</v>
      </c>
    </row>
    <row r="117" spans="1:6" s="1" customFormat="1" ht="15" x14ac:dyDescent="0.25">
      <c r="A117" s="29"/>
      <c r="B117" s="34" t="s">
        <v>47</v>
      </c>
      <c r="C117" s="5"/>
      <c r="D117" s="5"/>
      <c r="E117" s="28"/>
      <c r="F117" s="14"/>
    </row>
    <row r="118" spans="1:6" s="1" customFormat="1" ht="15" x14ac:dyDescent="0.25">
      <c r="A118" s="29"/>
      <c r="B118" s="16" t="s">
        <v>70</v>
      </c>
      <c r="C118" s="5">
        <v>5</v>
      </c>
      <c r="D118" s="5" t="s">
        <v>80</v>
      </c>
      <c r="E118" s="28"/>
      <c r="F118" s="14">
        <f t="shared" ref="F118:F120" si="19">C118*E118</f>
        <v>0</v>
      </c>
    </row>
    <row r="119" spans="1:6" s="1" customFormat="1" ht="15" x14ac:dyDescent="0.25">
      <c r="A119" s="29"/>
      <c r="B119" s="16" t="s">
        <v>71</v>
      </c>
      <c r="C119" s="5">
        <v>3</v>
      </c>
      <c r="D119" s="5" t="s">
        <v>80</v>
      </c>
      <c r="E119" s="28"/>
      <c r="F119" s="14">
        <f t="shared" si="19"/>
        <v>0</v>
      </c>
    </row>
    <row r="120" spans="1:6" s="1" customFormat="1" ht="15" x14ac:dyDescent="0.25">
      <c r="A120" s="29"/>
      <c r="B120" s="16" t="s">
        <v>72</v>
      </c>
      <c r="C120" s="5">
        <v>3</v>
      </c>
      <c r="D120" s="5" t="s">
        <v>80</v>
      </c>
      <c r="E120" s="28"/>
      <c r="F120" s="14">
        <f t="shared" si="19"/>
        <v>0</v>
      </c>
    </row>
    <row r="121" spans="1:6" s="1" customFormat="1" ht="15" x14ac:dyDescent="0.25">
      <c r="A121" s="29"/>
      <c r="B121" s="17"/>
      <c r="C121" s="30"/>
      <c r="D121" s="30"/>
      <c r="E121" s="35" t="s">
        <v>98</v>
      </c>
      <c r="F121" s="36">
        <f>SUM(F112:F120)</f>
        <v>0</v>
      </c>
    </row>
    <row r="122" spans="1:6" x14ac:dyDescent="0.2">
      <c r="A122" s="15"/>
      <c r="B122" s="16"/>
      <c r="C122" s="5"/>
      <c r="D122" s="5"/>
      <c r="E122" s="28"/>
      <c r="F122" s="14"/>
    </row>
    <row r="123" spans="1:6" s="1" customFormat="1" ht="30" x14ac:dyDescent="0.25">
      <c r="A123" s="29" t="s">
        <v>90</v>
      </c>
      <c r="B123" s="17" t="s">
        <v>99</v>
      </c>
      <c r="C123" s="30">
        <v>1</v>
      </c>
      <c r="D123" s="30" t="s">
        <v>85</v>
      </c>
      <c r="E123" s="31">
        <f>$F$121</f>
        <v>0</v>
      </c>
      <c r="F123" s="32">
        <f t="shared" ref="F123" si="20">C123*E123</f>
        <v>0</v>
      </c>
    </row>
    <row r="124" spans="1:6" x14ac:dyDescent="0.2">
      <c r="A124" s="3"/>
      <c r="B124" s="4"/>
      <c r="C124" s="5"/>
      <c r="D124" s="5"/>
      <c r="E124" s="6"/>
      <c r="F124" s="7"/>
    </row>
    <row r="125" spans="1:6" ht="15" x14ac:dyDescent="0.25">
      <c r="A125" s="3"/>
      <c r="B125" s="4"/>
      <c r="C125" s="5"/>
      <c r="D125" s="5"/>
      <c r="E125" s="35" t="s">
        <v>91</v>
      </c>
      <c r="F125" s="36">
        <f>F31+F61+F90+F103+F105+F107+F109+F111+F123</f>
        <v>0</v>
      </c>
    </row>
    <row r="126" spans="1:6" ht="15.75" thickBot="1" x14ac:dyDescent="0.3">
      <c r="A126" s="9"/>
      <c r="B126" s="10"/>
      <c r="C126" s="10"/>
      <c r="D126" s="10"/>
      <c r="E126" s="11"/>
      <c r="F126" s="12"/>
    </row>
  </sheetData>
  <sheetProtection algorithmName="SHA-512" hashValue="wTi0F7mxYF4LK0Vk82BqluIdeMiCzl10JbrKGFxp3FiZdF7EORG3hNjn96n939GdnKLo9UxnSJpaIqV6ZzH+hg==" saltValue="K7vhhtjuRdLYDKoodzHcPg==" spinCount="100000" sheet="1" objects="1" scenarios="1"/>
  <mergeCells count="5">
    <mergeCell ref="A62:F62"/>
    <mergeCell ref="A2:F2"/>
    <mergeCell ref="A33:F33"/>
    <mergeCell ref="A3:F3"/>
    <mergeCell ref="A1:F1"/>
  </mergeCells>
  <pageMargins left="0.7" right="0.7" top="0.75" bottom="0.75" header="0.3" footer="0.3"/>
  <pageSetup scale="88" orientation="portrait" horizontalDpi="1200" verticalDpi="1200" r:id="rId1"/>
  <rowBreaks count="2" manualBreakCount="2">
    <brk id="46" max="5" man="1"/>
    <brk id="90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Cost Details</vt:lpstr>
      <vt:lpstr>'Cost Details'!Print_Area</vt:lpstr>
      <vt:lpstr>'Cost Details'!Print_Titles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Ip, Lisa I CIV USARMY CESPN (USA)</dc:creator>
  <cp:lastModifiedBy>Ip, Lisa I CIV USARMY CESPN (USA)</cp:lastModifiedBy>
  <cp:lastPrinted>2026-04-03T17:20:52Z</cp:lastPrinted>
  <dcterms:created xsi:type="dcterms:W3CDTF">2015-06-05T18:17:20Z</dcterms:created>
  <dcterms:modified xsi:type="dcterms:W3CDTF">2026-04-03T17:24:23Z</dcterms:modified>
</cp:coreProperties>
</file>