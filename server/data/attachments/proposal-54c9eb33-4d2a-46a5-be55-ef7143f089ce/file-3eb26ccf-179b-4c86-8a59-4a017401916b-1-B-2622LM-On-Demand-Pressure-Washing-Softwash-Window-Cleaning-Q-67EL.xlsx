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workbookProtection lockRevision="false" lockStructure="true" lockWindows="false"/>
  <bookViews>
    <workbookView activeTab="0" autoFilterDateGrouping="true" firstSheet="0" minimized="false" showHorizontalScroll="true" showSheetTabs="true" showVerticalScroll="true" tabRatio="600" visibility="visible"/>
  </bookViews>
  <sheets>
    <sheet name="Instructions" sheetId="1" r:id="rId4"/>
    <sheet name="Summary" sheetId="2" r:id="rId5"/>
    <sheet name="1" sheetId="3" r:id="rId6"/>
    <sheet name="2" sheetId="4" r:id="rId7"/>
    <sheet name="Response Options (hidden)" sheetId="5" state="veryHidden" r:id="rId8"/>
  </sheets>
  <definedNames>
    <definedName name="responseValidationRulesGroup0">'Response Options (hidden)'!$A$1:$C$3</definedName>
    <definedName name="responseOption0">'Response Options (hidden)'!$A$1:$A$2</definedName>
    <definedName name="responseValidationRulesGroup1">'Response Options (hidden)'!$D$1:$F$5</definedName>
    <definedName name="responseOption1">'Response Options (hidden)'!$D$1:$D$4</definedName>
    <definedName name="responseValidationRulesGroup2">'Response Options (hidden)'!$G$1:$I$3</definedName>
    <definedName name="responseOption2">'Response Options (hidden)'!$G$1:$G$2</definedName>
    <definedName name="responseValidationRulesGroup3">'Response Options (hidden)'!$J$1:$L$3</definedName>
    <definedName name="responseOption3">'Response Options (hidden)'!$J$1:$J$2</definedName>
    <definedName name="responseValidationRulesGroup4">'Response Options (hidden)'!$M$1:$O$3</definedName>
    <definedName name="responseOption4">'Response Options (hidden)'!$M$1:$M$2</definedName>
    <definedName name="responseValidationRulesGroup5">'Response Options (hidden)'!$P$1:$R$3</definedName>
    <definedName name="responseOption5">'Response Options (hidden)'!$P$1:$P$2</definedName>
    <definedName name="responseValidationRulesGroup6">'Response Options (hidden)'!$S$1:$U$3</definedName>
    <definedName name="responseOption6">'Response Options (hidden)'!$S$1:$S$2</definedName>
    <definedName name="responseValidationRulesGroup7">'Response Options (hidden)'!$V$1:$X$3</definedName>
    <definedName name="responseOption7">'Response Options (hidden)'!$V$1:$V$2</definedName>
  </definedNames>
  <calcPr calcId="999999" calcMode="auto" calcCompleted="0" fullCalcOnLoad="1" forceFullCalc="1"/>
</workbook>
</file>

<file path=xl/sharedStrings.xml><?xml version="1.0" encoding="utf-8"?>
<sst xmlns="http://schemas.openxmlformats.org/spreadsheetml/2006/main" uniqueCount="85">
  <si>
    <t>5d45ff555fc3debceebad2bacd63cf13389e3d1fc3ec73fbec1ab3c5fe278c872ae949bc05cfec96ba2f0476ccb3973de60bef2067e6f31382186caa76992a33r0W+NgA2IDND2a4A4o03LvbyW3YTKCVarkwFlZ6weGqzPGqdM/C4DFmJAwnFyX9T</t>
  </si>
  <si>
    <t>B-2622LM On Demand Pressure Washing, Softwash &amp; Window Cleaning (Q-67EL)</t>
  </si>
  <si>
    <t>Instructions</t>
  </si>
  <si>
    <t>- The Summary worksheet displays your overall progress for the questionnaire.
- The worksheets numbered from 1 to N represent question sets.
- For each question set, select a response from the dropdown (if applicable) and enter a response comment for each question in the table.
- If specific instructions have been provided for a given subset, they will appear as a tooltip for a purple cell. Mouse-over to review them.
- When pasting content, please use Paste Special as Text without any formatting.
- You can only submit text based responses, please do not use special characters like emojis.
- Please do not change the structure of any of the worksheets. Changing the structure will invalidate your submission.
- Any additional information outside of the given structure of the worksheets will not be visible to the purchaser.
- Please do not save this file in a different format. Saving this file in a different format will invalidate your submission.
- Please do not use Excel formulas in your responses.
- Please follow the instructions provided along with this file to submit it back to Euna Procurement.
- If you have any questions regarding the content of this file, please contact the appropriate purchaser.
- If you have any technical problems, please contact Euna Procurement at support.bonfire@eunasolutions.com.</t>
  </si>
  <si>
    <t>Total</t>
  </si>
  <si>
    <t>Summary</t>
  </si>
  <si>
    <t>Question Set</t>
  </si>
  <si>
    <t>Questions</t>
  </si>
  <si>
    <t>Hide Me</t>
  </si>
  <si>
    <t>% Complete</t>
  </si>
  <si>
    <t>Progress</t>
  </si>
  <si>
    <t>Error?</t>
  </si>
  <si>
    <t>Question Set 1: B-2622LM Standard Questions</t>
  </si>
  <si>
    <t>#</t>
  </si>
  <si>
    <t>Question</t>
  </si>
  <si>
    <t>Response</t>
  </si>
  <si>
    <t>Comment</t>
  </si>
  <si>
    <t>Status</t>
  </si>
  <si>
    <t>-</t>
  </si>
  <si>
    <t>1.0.1</t>
  </si>
  <si>
    <t xml:space="preserve">
Enter supplier name &amp; address in comments section.
</t>
  </si>
  <si>
    <t>1.0.2</t>
  </si>
  <si>
    <t xml:space="preserve">
Provide contact name, phone # and email address in comments section.
</t>
  </si>
  <si>
    <t>1.0.3</t>
  </si>
  <si>
    <t xml:space="preserve">
When responding to a GCPS solicitation, if an item is to be bid at “zero cost” to the district, supporting documentation must be provided under the “Additional Supplier Information –If needed” section within Bonfire.
</t>
  </si>
  <si>
    <t>1.0.4</t>
  </si>
  <si>
    <t xml:space="preserve">
How did your firm hear about this solicitation?
</t>
  </si>
  <si>
    <t>1.0.5</t>
  </si>
  <si>
    <t xml:space="preserve">
Is your company a new supplier to Gwinnett County Public Schools? If so, please complete the GCPS W-9 Substitute Supplier Info Forms and submit with your response. Note: A new supplier is a supplier that has not done business with GCPS within the last 12 months.
</t>
  </si>
  <si>
    <t>1.0.6</t>
  </si>
  <si>
    <t xml:space="preserve">
Does your company accept all of the Instructions &amp; Conditions? By answering Yes, I have read the Instructions &amp; Conditions in it's entirety and agree to conform to it's every requirement. I further acknowledge that failure to prepare, submit or execute this bid in the exact manner requested will be just cause to reject any or my entire bid.
</t>
  </si>
  <si>
    <t>1.0.7</t>
  </si>
  <si>
    <t xml:space="preserve">
Does your firm understand and accept the "Cost" provisions as listed on Section 14 of the Bid Instructions &amp; Conditions?
</t>
  </si>
  <si>
    <t>1.0.8</t>
  </si>
  <si>
    <t xml:space="preserve">
Are any products on this solicitation subject to Tariffs?  If so, please respond in the comments.
</t>
  </si>
  <si>
    <t>1.0.9</t>
  </si>
  <si>
    <t xml:space="preserve">
Does your company agree and accept that if awarded, the solicitation invitation and all attachments, addendums, proposal response (if required), this questionnaire, the bid table (if required), Instructions and Conditions, Certificate of Insurance (if required) and any mutually agreed amendments and exceptions comprise the entire contract between your firm and GCPS?
</t>
  </si>
  <si>
    <t>1.0.10</t>
  </si>
  <si>
    <t xml:space="preserve">
GCPS will do a thorough review of the Certificate of Insurance (COI) submitted to ensure that all coverage aligns with our established requirements in order to perform services for GCPS. Make sure your coverage is sufficient before submission. Does your COI fully match every item highlighted in blue on the COI sample?
</t>
  </si>
  <si>
    <t xml:space="preserve">Question Set 2: B-2622LM  References-
List a minimum of three (3) references where work of a similar size and scope has been completed. </t>
  </si>
  <si>
    <t>Reference 1</t>
  </si>
  <si>
    <t>2.1.1</t>
  </si>
  <si>
    <t xml:space="preserve">
Company Name
</t>
  </si>
  <si>
    <t>2.1.2</t>
  </si>
  <si>
    <t xml:space="preserve">
Contact Name, Telephone Number, E-Mail Address
</t>
  </si>
  <si>
    <t>2.1.3</t>
  </si>
  <si>
    <t xml:space="preserve">
Brief Description of Project
</t>
  </si>
  <si>
    <t>2.1.4</t>
  </si>
  <si>
    <t xml:space="preserve">
Completion Date
</t>
  </si>
  <si>
    <t>Reference 2</t>
  </si>
  <si>
    <t>2.2.1</t>
  </si>
  <si>
    <t>2.2.2</t>
  </si>
  <si>
    <t>2.2.3</t>
  </si>
  <si>
    <t>2.2.4</t>
  </si>
  <si>
    <t>Reference 3</t>
  </si>
  <si>
    <t>2.3.1</t>
  </si>
  <si>
    <t>2.3.2</t>
  </si>
  <si>
    <t>2.3.3</t>
  </si>
  <si>
    <t>2.3.4</t>
  </si>
  <si>
    <t>Yes- I am aware of this requirement</t>
  </si>
  <si>
    <t>No- we are not aware of this requirement</t>
  </si>
  <si>
    <t>Yes- I am aware of this requirement, No- we are not aware of this requirement</t>
  </si>
  <si>
    <t>Email Notification</t>
  </si>
  <si>
    <t>Gwinnett County Public Schools Website</t>
  </si>
  <si>
    <t>Georgia Procurement Registry</t>
  </si>
  <si>
    <t>Other - Please explain in comments section</t>
  </si>
  <si>
    <t>Email Notification, Gwinnett County Public Schools Website, Georgia Procurement Registry, Other - Please explain in comments section</t>
  </si>
  <si>
    <t>Yes - Forms have been submitted</t>
  </si>
  <si>
    <t>No - We have done business with GCPS within the last 12 months</t>
  </si>
  <si>
    <t>Yes - Forms have been submitted, No - We have done business with GCPS within the last 12 months</t>
  </si>
  <si>
    <t>Yes- I have read the Instructions &amp; Conditions in it's entirety and agree to conform to it's every requirement.</t>
  </si>
  <si>
    <t>No - Please explain</t>
  </si>
  <si>
    <t>Yes- I have read the Instructions &amp; Conditions in it's entirety and agree to conform to it's every requirement., No - Please explain</t>
  </si>
  <si>
    <t>Yes- I have read the Section 14 Cost provisions and agree to conform to its every requirement.</t>
  </si>
  <si>
    <t>No- Please explain</t>
  </si>
  <si>
    <t>Yes- I have read the Section 14 Cost provisions and agree to conform to its every requirement., No- Please explain</t>
  </si>
  <si>
    <t>Yes- Items are subject to tariffs and will be listed in the comments section</t>
  </si>
  <si>
    <t>No- Items are not subjected to tariffs</t>
  </si>
  <si>
    <t>Yes- Items are subject to tariffs and will be listed in the comments section, No- Items are not subjected to tariffs</t>
  </si>
  <si>
    <t>Yes- I agree if awarded that all the above listed documents make up the contract between GCPS and my firm</t>
  </si>
  <si>
    <t>No- I do not agree. Please explain.</t>
  </si>
  <si>
    <t>Yes- I agree if awarded that all the above listed documents make up the contract between GCPS and my firm, No- I do not agree. Please explain.</t>
  </si>
  <si>
    <t>Yes- I confirm that my COI fully match every item highlighted in blue on the COI sample.</t>
  </si>
  <si>
    <t>No - Explain</t>
  </si>
  <si>
    <t>Yes- I confirm that my COI fully match every item highlighted in blue on the COI sample., No - Explain</t>
  </si>
</sst>
</file>

<file path=xl/styles.xml><?xml version="1.0" encoding="utf-8"?>
<styleSheet xmlns="http://schemas.openxmlformats.org/spreadsheetml/2006/main" xml:space="preserve">
  <numFmts count="4">
    <numFmt numFmtId="164" formatCode="0\ &quot;Questions&quot;"/>
    <numFmt numFmtId="165" formatCode="0\ &quot;pts&quot;"/>
    <numFmt numFmtId="166" formatCode="0.00%\ &quot;Complete&quot;"/>
    <numFmt numFmtId="167" formatCode="&quot;The comment must be left blank for this response&quot;"/>
  </numFmts>
  <fonts count="5">
    <font>
      <b val="0"/>
      <i val="0"/>
      <strike val="0"/>
      <u val="none"/>
      <sz val="12"/>
      <color rgb="FF000000"/>
      <name val="Arial"/>
    </font>
    <font>
      <b val="1"/>
      <i val="0"/>
      <strike val="0"/>
      <u val="none"/>
      <sz val="22"/>
      <color rgb="40404040"/>
      <name val="Arial"/>
    </font>
    <font>
      <b val="1"/>
      <i val="0"/>
      <strike val="0"/>
      <u val="none"/>
      <sz val="12"/>
      <color rgb="FFFFFFFF"/>
      <name val="Arial"/>
    </font>
    <font>
      <b val="1"/>
      <i val="0"/>
      <strike val="0"/>
      <u val="none"/>
      <sz val="14"/>
      <color rgb="FFFFFFFF"/>
      <name val="Arial"/>
    </font>
    <font>
      <b val="0"/>
      <i val="0"/>
      <strike val="0"/>
      <u val="none"/>
      <sz val="12"/>
      <color rgb="FFFFFFFF"/>
      <name val="Arial"/>
    </font>
  </fonts>
  <fills count="7">
    <fill>
      <patternFill patternType="none"/>
    </fill>
    <fill>
      <patternFill patternType="gray125"/>
    </fill>
    <fill>
      <patternFill patternType="solid">
        <fgColor rgb="FFFFFFFF"/>
        <bgColor rgb="FF000000"/>
      </patternFill>
    </fill>
    <fill>
      <patternFill patternType="solid">
        <fgColor rgb="f2f2f2f2"/>
        <bgColor rgb="FF000000"/>
      </patternFill>
    </fill>
    <fill>
      <patternFill patternType="solid">
        <fgColor rgb="ff5fadcf"/>
        <bgColor rgb="FF000000"/>
      </patternFill>
    </fill>
    <fill>
      <patternFill patternType="solid">
        <fgColor rgb="ff548ba1"/>
        <bgColor rgb="FF000000"/>
      </patternFill>
    </fill>
    <fill>
      <patternFill patternType="solid">
        <fgColor rgb="7f7f7f7f"/>
        <bgColor rgb="FF000000"/>
      </patternFill>
    </fill>
  </fills>
  <borders count="25">
    <border>
      <left/>
      <right/>
      <top/>
      <bottom/>
      <diagonal/>
    </border>
    <border>
      <left style="thin">
        <color rgb="bfbfbfbf"/>
      </left>
      <right style="dotted">
        <color rgb="bfbfbfbf"/>
      </right>
      <top style="thin">
        <color rgb="bfbfbfbf"/>
      </top>
      <bottom style="thin">
        <color rgb="bfbfbfbf"/>
      </bottom>
      <diagonal/>
    </border>
    <border>
      <left style="dotted">
        <color rgb="bfbfbfbf"/>
      </left>
      <right style="dotted">
        <color rgb="bfbfbfbf"/>
      </right>
      <top style="thin">
        <color rgb="bfbfbfbf"/>
      </top>
      <bottom style="thin">
        <color rgb="bfbfbfbf"/>
      </bottom>
      <diagonal/>
    </border>
    <border>
      <left style="dotted">
        <color rgb="bfbfbfbf"/>
      </left>
      <right style="thin">
        <color rgb="bfbfbfbf"/>
      </right>
      <top style="thin">
        <color rgb="bfbfbfbf"/>
      </top>
      <bottom style="thin">
        <color rgb="bfbfbfbf"/>
      </bottom>
      <diagonal/>
    </border>
    <border>
      <left/>
      <right/>
      <top style="medium">
        <color rgb="bfbfbfbf"/>
      </top>
      <bottom/>
      <diagonal/>
    </border>
    <border>
      <left style="dotted">
        <color rgb="bfbfbfbf"/>
      </left>
      <right/>
      <top style="thin">
        <color rgb="bfbfbfbf"/>
      </top>
      <bottom/>
      <diagonal/>
    </border>
    <border>
      <left style="dotted">
        <color rgb="bfbfbfbf"/>
      </left>
      <right/>
      <top/>
      <bottom/>
      <diagonal/>
    </border>
    <border>
      <left style="dotted">
        <color rgb="bfbfbfbf"/>
      </left>
      <right/>
      <top/>
      <bottom style="thin">
        <color rgb="bfbfbfbf"/>
      </bottom>
      <diagonal/>
    </border>
    <border>
      <left/>
      <right/>
      <top style="thin">
        <color rgb="bfbfbfbf"/>
      </top>
      <bottom/>
      <diagonal/>
    </border>
    <border>
      <left/>
      <right/>
      <top/>
      <bottom style="thin">
        <color rgb="bfbfbfbf"/>
      </bottom>
      <diagonal/>
    </border>
    <border>
      <left/>
      <right style="dotted">
        <color rgb="bfbfbfbf"/>
      </right>
      <top style="thin">
        <color rgb="bfbfbfbf"/>
      </top>
      <bottom/>
      <diagonal/>
    </border>
    <border>
      <left/>
      <right style="dotted">
        <color rgb="bfbfbfbf"/>
      </right>
      <top/>
      <bottom/>
      <diagonal/>
    </border>
    <border>
      <left/>
      <right style="dotted">
        <color rgb="bfbfbfbf"/>
      </right>
      <top/>
      <bottom style="thin">
        <color rgb="bfbfbfbf"/>
      </bottom>
      <diagonal/>
    </border>
    <border>
      <left style="thin">
        <color rgb="bfbfbfbf"/>
      </left>
      <right/>
      <top style="thin">
        <color rgb="bfbfbfbf"/>
      </top>
      <bottom style="thin">
        <color rgb="bfbfbfbf"/>
      </bottom>
      <diagonal/>
    </border>
    <border>
      <left/>
      <right/>
      <top style="thin">
        <color rgb="bfbfbfbf"/>
      </top>
      <bottom style="thin">
        <color rgb="bfbfbfbf"/>
      </bottom>
      <diagonal/>
    </border>
    <border>
      <left/>
      <right style="thin">
        <color rgb="bfbfbfbf"/>
      </right>
      <top style="thin">
        <color rgb="bfbfbfbf"/>
      </top>
      <bottom style="thin">
        <color rgb="bfbfbfbf"/>
      </bottom>
      <diagonal/>
    </border>
    <border>
      <left/>
      <right style="dotted">
        <color rgb="bfbfbfbf"/>
      </right>
      <top/>
      <bottom/>
      <diagonal/>
    </border>
    <border>
      <left style="dotted">
        <color rgb="bfbfbfbf"/>
      </left>
      <right style="dotted">
        <color rgb="bfbfbfbf"/>
      </right>
      <top/>
      <bottom/>
      <diagonal/>
    </border>
    <border>
      <left style="dotted">
        <color rgb="bfbfbfbf"/>
      </left>
      <right/>
      <top/>
      <bottom/>
      <diagonal/>
    </border>
    <border>
      <left style="thin">
        <color rgb="bfbfbfbf"/>
      </left>
      <right style="dotted">
        <color rgb="bfbfbfbf"/>
      </right>
      <top style="medium">
        <color rgb="bfbfbfbf"/>
      </top>
      <bottom style="thin">
        <color rgb="bfbfbfbf"/>
      </bottom>
      <diagonal/>
    </border>
    <border>
      <left style="dotted">
        <color rgb="bfbfbfbf"/>
      </left>
      <right style="dotted">
        <color rgb="bfbfbfbf"/>
      </right>
      <top style="medium">
        <color rgb="bfbfbfbf"/>
      </top>
      <bottom style="thin">
        <color rgb="bfbfbfbf"/>
      </bottom>
      <diagonal/>
    </border>
    <border>
      <left style="dotted">
        <color rgb="bfbfbfbf"/>
      </left>
      <right/>
      <top style="medium">
        <color rgb="bfbfbfbf"/>
      </top>
      <bottom/>
      <diagonal/>
    </border>
    <border>
      <left/>
      <right/>
      <top style="medium">
        <color rgb="bfbfbfbf"/>
      </top>
      <bottom/>
      <diagonal/>
    </border>
    <border>
      <left/>
      <right style="dotted">
        <color rgb="bfbfbfbf"/>
      </right>
      <top style="medium">
        <color rgb="bfbfbfbf"/>
      </top>
      <bottom/>
      <diagonal/>
    </border>
    <border>
      <left style="dotted">
        <color rgb="bfbfbfbf"/>
      </left>
      <right style="thin">
        <color rgb="bfbfbfbf"/>
      </right>
      <top style="medium">
        <color rgb="bfbfbfbf"/>
      </top>
      <bottom style="thin">
        <color rgb="bfbfbfbf"/>
      </bottom>
      <diagonal/>
    </border>
  </borders>
  <cellStyleXfs count="1">
    <xf numFmtId="0" fontId="0" fillId="0" borderId="0"/>
  </cellStyleXfs>
  <cellXfs count="52">
    <xf xfId="0" fontId="0" numFmtId="0" fillId="2" borderId="0" applyFont="0" applyNumberFormat="0" applyFill="0" applyBorder="0" applyAlignment="0" applyProtection="true">
      <protection locked="false"/>
    </xf>
    <xf xfId="0" fontId="0" numFmtId="0" fillId="2" borderId="0" applyFont="0" applyNumberFormat="0" applyFill="0" applyBorder="0" applyAlignment="0"/>
    <xf xfId="0" fontId="1" numFmtId="0" fillId="2" borderId="0" applyFont="1" applyNumberFormat="0" applyFill="0" applyBorder="0" applyAlignment="1">
      <alignment horizontal="left" vertical="center" textRotation="0" wrapText="true" shrinkToFit="false"/>
    </xf>
    <xf xfId="0" fontId="1" numFmtId="0" fillId="2" borderId="0" applyFont="1" applyNumberFormat="0" applyFill="0" applyBorder="0" applyAlignment="1">
      <alignment horizontal="left" vertical="center" textRotation="0" wrapText="false" shrinkToFit="false"/>
    </xf>
    <xf xfId="0" fontId="0" numFmtId="0" fillId="3" borderId="0" applyFont="0" applyNumberFormat="0" applyFill="1" applyBorder="0" applyAlignment="1">
      <alignment vertical="center" textRotation="0" wrapText="true" shrinkToFit="false"/>
    </xf>
    <xf xfId="0" fontId="0" numFmtId="0" fillId="3" borderId="1" applyFont="0" applyNumberFormat="0" applyFill="1" applyBorder="1" applyAlignment="1">
      <alignment horizontal="center" vertical="center" textRotation="0" wrapText="false" shrinkToFit="false"/>
    </xf>
    <xf xfId="0" fontId="0" numFmtId="0" fillId="3" borderId="2" applyFont="0" applyNumberFormat="0" applyFill="1" applyBorder="1" applyAlignment="1">
      <alignment horizontal="center" vertical="center" textRotation="0" wrapText="false" shrinkToFit="false"/>
    </xf>
    <xf xfId="0" fontId="0" numFmtId="0" fillId="3" borderId="3" applyFont="0" applyNumberFormat="0" applyFill="1" applyBorder="1" applyAlignment="1">
      <alignment horizontal="center" vertical="center" textRotation="0" wrapText="false" shrinkToFit="false"/>
    </xf>
    <xf xfId="0" fontId="2" numFmtId="0" fillId="4" borderId="0" applyFont="1" applyNumberFormat="0" applyFill="1" applyBorder="0" applyAlignment="1">
      <alignment horizontal="center" vertical="center" textRotation="0" wrapText="true" shrinkToFit="false"/>
    </xf>
    <xf xfId="0" fontId="2" numFmtId="0" fillId="5" borderId="0" applyFont="1" applyNumberFormat="0" applyFill="1" applyBorder="0" applyAlignment="1">
      <alignment horizontal="center" vertical="center" textRotation="0" wrapText="true" shrinkToFit="false"/>
    </xf>
    <xf xfId="0" fontId="0" numFmtId="49" fillId="3" borderId="2" applyFont="0" applyNumberFormat="1" applyFill="1" applyBorder="1" applyAlignment="1" applyProtection="true">
      <alignment horizontal="center" vertical="center" textRotation="0" wrapText="true" shrinkToFit="false"/>
      <protection locked="false"/>
    </xf>
    <xf xfId="0" fontId="0" numFmtId="49" fillId="3" borderId="3" applyFont="0" applyNumberFormat="1" applyFill="1" applyBorder="1" applyAlignment="1" applyProtection="true">
      <alignment horizontal="left" vertical="center" textRotation="0" wrapText="true" shrinkToFit="false" indent="1"/>
      <protection locked="false"/>
    </xf>
    <xf xfId="0" fontId="3" numFmtId="164" fillId="4" borderId="4" applyFont="1" applyNumberFormat="1" applyFill="1" applyBorder="1" applyAlignment="1">
      <alignment horizontal="center" vertical="center" textRotation="0" wrapText="false" shrinkToFit="false"/>
    </xf>
    <xf xfId="0" fontId="3" numFmtId="0" fillId="4" borderId="4" applyFont="1" applyNumberFormat="0" applyFill="1" applyBorder="1" applyAlignment="1">
      <alignment horizontal="center" vertical="center" textRotation="0" wrapText="false" shrinkToFit="false"/>
    </xf>
    <xf xfId="0" fontId="3" numFmtId="165" fillId="4" borderId="4" applyFont="1" applyNumberFormat="1" applyFill="1" applyBorder="1" applyAlignment="1">
      <alignment horizontal="center" vertical="center" textRotation="0" wrapText="false" shrinkToFit="false"/>
    </xf>
    <xf xfId="0" fontId="3" numFmtId="166" fillId="4" borderId="4" applyFont="1" applyNumberFormat="1" applyFill="1" applyBorder="1" applyAlignment="1">
      <alignment horizontal="center" vertical="center" textRotation="0" wrapText="false" shrinkToFit="false"/>
    </xf>
    <xf xfId="0" fontId="0" numFmtId="0" fillId="3" borderId="2" applyFont="0" applyNumberFormat="0" applyFill="1" applyBorder="1" applyAlignment="1">
      <alignment horizontal="left" vertical="center" textRotation="0" wrapText="true" shrinkToFit="false" indent="1"/>
    </xf>
    <xf xfId="0" fontId="0" numFmtId="167" fillId="2" borderId="0" applyFont="0" applyNumberFormat="1" applyFill="0" applyBorder="0" applyAlignment="1">
      <alignment vertical="center" textRotation="0" wrapText="true" shrinkToFit="true" indent="1"/>
    </xf>
    <xf xfId="0" fontId="4" numFmtId="0" fillId="3" borderId="5" applyFont="1" applyNumberFormat="0" applyFill="1" applyBorder="1" applyAlignment="1">
      <alignment horizontal="center" vertical="center" textRotation="0" wrapText="false" shrinkToFit="false"/>
    </xf>
    <xf xfId="0" fontId="4" numFmtId="0" fillId="3" borderId="6" applyFont="1" applyNumberFormat="0" applyFill="1" applyBorder="1" applyAlignment="1">
      <alignment horizontal="center" vertical="center" textRotation="0" wrapText="false" shrinkToFit="false"/>
    </xf>
    <xf xfId="0" fontId="4" numFmtId="0" fillId="3" borderId="7" applyFont="1" applyNumberFormat="0" applyFill="1" applyBorder="1" applyAlignment="1">
      <alignment horizontal="center" vertical="center" textRotation="0" wrapText="false" shrinkToFit="false"/>
    </xf>
    <xf xfId="0" fontId="4" numFmtId="0" fillId="3" borderId="8" applyFont="1" applyNumberFormat="0" applyFill="1" applyBorder="1" applyAlignment="1">
      <alignment horizontal="center" vertical="center" textRotation="0" wrapText="false" shrinkToFit="false"/>
    </xf>
    <xf xfId="0" fontId="4" numFmtId="0" fillId="3" borderId="9" applyFont="1" applyNumberFormat="0" applyFill="1" applyBorder="1" applyAlignment="1">
      <alignment horizontal="center" vertical="center" textRotation="0" wrapText="false" shrinkToFit="false"/>
    </xf>
    <xf xfId="0" fontId="4" numFmtId="0" fillId="3" borderId="10" applyFont="1" applyNumberFormat="0" applyFill="1" applyBorder="1" applyAlignment="1">
      <alignment horizontal="center" vertical="center" textRotation="0" wrapText="false" shrinkToFit="false"/>
    </xf>
    <xf xfId="0" fontId="4" numFmtId="0" fillId="3" borderId="11" applyFont="1" applyNumberFormat="0" applyFill="1" applyBorder="1" applyAlignment="1">
      <alignment horizontal="center" vertical="center" textRotation="0" wrapText="false" shrinkToFit="false"/>
    </xf>
    <xf xfId="0" fontId="4" numFmtId="0" fillId="3" borderId="12" applyFont="1" applyNumberFormat="0" applyFill="1" applyBorder="1" applyAlignment="1">
      <alignment horizontal="center" vertical="center" textRotation="0" wrapText="false" shrinkToFit="false"/>
    </xf>
    <xf xfId="0" fontId="4" numFmtId="0" fillId="3" borderId="13" applyFont="1" applyNumberFormat="0" applyFill="1" applyBorder="1" applyAlignment="1">
      <alignment horizontal="center" vertical="center" textRotation="0" wrapText="false" shrinkToFit="false"/>
    </xf>
    <xf xfId="0" fontId="4" numFmtId="0" fillId="3" borderId="14" applyFont="1" applyNumberFormat="0" applyFill="1" applyBorder="1" applyAlignment="1">
      <alignment horizontal="center" vertical="center" textRotation="0" wrapText="false" shrinkToFit="false"/>
    </xf>
    <xf xfId="0" fontId="4" numFmtId="0" fillId="3" borderId="15" applyFont="1" applyNumberFormat="0" applyFill="1" applyBorder="1" applyAlignment="1">
      <alignment horizontal="center" vertical="center" textRotation="0" wrapText="false" shrinkToFit="false"/>
    </xf>
    <xf xfId="0" fontId="3" numFmtId="0" fillId="6" borderId="16" applyFont="1" applyNumberFormat="0" applyFill="1" applyBorder="1" applyAlignment="1" applyProtection="true">
      <alignment horizontal="left" vertical="center" textRotation="0" wrapText="false" shrinkToFit="false" indent="1"/>
      <protection locked="false"/>
    </xf>
    <xf xfId="0" fontId="3" numFmtId="0" fillId="6" borderId="17" applyFont="1" applyNumberFormat="0" applyFill="1" applyBorder="1" applyAlignment="1">
      <alignment horizontal="left" vertical="center" textRotation="0" wrapText="true" shrinkToFit="false" indent="1"/>
    </xf>
    <xf xfId="0" fontId="3" numFmtId="0" fillId="6" borderId="16" applyFont="1" applyNumberFormat="0" applyFill="1" applyBorder="1" applyAlignment="1">
      <alignment horizontal="left" vertical="center" textRotation="0" wrapText="true" shrinkToFit="false" indent="1"/>
    </xf>
    <xf xfId="0" fontId="3" numFmtId="0" fillId="6" borderId="18" applyFont="1" applyNumberFormat="0" applyFill="1" applyBorder="1" applyAlignment="1">
      <alignment horizontal="left" vertical="center" textRotation="0" wrapText="true" shrinkToFit="false" indent="1"/>
    </xf>
    <xf xfId="0" fontId="3" numFmtId="0" fillId="6" borderId="18" applyFont="1" applyNumberFormat="0" applyFill="1" applyBorder="1" applyAlignment="1" applyProtection="true">
      <alignment horizontal="left" vertical="center" textRotation="0" wrapText="true" shrinkToFit="false" indent="1"/>
      <protection locked="false"/>
    </xf>
    <xf xfId="0" fontId="0" numFmtId="49" fillId="2" borderId="0" applyFont="0" applyNumberFormat="1" applyFill="0" applyBorder="0" applyAlignment="0"/>
    <xf xfId="0" fontId="3" numFmtId="0" fillId="4" borderId="19" applyFont="1" applyNumberFormat="0" applyFill="1" applyBorder="1" applyAlignment="1">
      <alignment horizontal="center" vertical="center" textRotation="0" wrapText="false" shrinkToFit="false"/>
    </xf>
    <xf xfId="0" fontId="3" numFmtId="0" fillId="4" borderId="1" applyFont="1" applyNumberFormat="0" applyFill="1" applyBorder="1" applyAlignment="1">
      <alignment horizontal="center" vertical="center" textRotation="0" wrapText="false" shrinkToFit="false"/>
    </xf>
    <xf xfId="0" fontId="3" numFmtId="0" fillId="4" borderId="20" applyFont="1" applyNumberFormat="0" applyFill="1" applyBorder="1" applyAlignment="1">
      <alignment horizontal="center" vertical="center" textRotation="0" wrapText="false" shrinkToFit="false"/>
    </xf>
    <xf xfId="0" fontId="3" numFmtId="0" fillId="4" borderId="21" applyFont="1" applyNumberFormat="0" applyFill="1" applyBorder="1" applyAlignment="1">
      <alignment horizontal="center" vertical="center" textRotation="0" wrapText="false" shrinkToFit="false"/>
    </xf>
    <xf xfId="0" fontId="3" numFmtId="0" fillId="4" borderId="22" applyFont="1" applyNumberFormat="0" applyFill="1" applyBorder="1" applyAlignment="1">
      <alignment horizontal="center" vertical="center" textRotation="0" wrapText="false" shrinkToFit="false"/>
    </xf>
    <xf xfId="0" fontId="3" numFmtId="0" fillId="4" borderId="23" applyFont="1" applyNumberFormat="0" applyFill="1" applyBorder="1" applyAlignment="1">
      <alignment horizontal="center" vertical="center" textRotation="0" wrapText="false" shrinkToFit="false"/>
    </xf>
    <xf xfId="0" fontId="3" numFmtId="0" fillId="4" borderId="2" applyFont="1" applyNumberFormat="0" applyFill="1" applyBorder="1" applyAlignment="1">
      <alignment horizontal="center" vertical="center" textRotation="0" wrapText="false" shrinkToFit="false"/>
    </xf>
    <xf xfId="0" fontId="3" numFmtId="0" fillId="4" borderId="6" applyFont="1" applyNumberFormat="0" applyFill="1" applyBorder="1" applyAlignment="1">
      <alignment horizontal="center" vertical="center" textRotation="0" wrapText="false" shrinkToFit="false"/>
    </xf>
    <xf xfId="0" fontId="3" numFmtId="0" fillId="4" borderId="13" applyFont="1" applyNumberFormat="0" applyFill="1" applyBorder="1" applyAlignment="1">
      <alignment horizontal="center" vertical="center" textRotation="0" wrapText="false" shrinkToFit="false"/>
    </xf>
    <xf xfId="0" fontId="3" numFmtId="0" fillId="4" borderId="14" applyFont="1" applyNumberFormat="0" applyFill="1" applyBorder="1" applyAlignment="1">
      <alignment horizontal="center" vertical="center" textRotation="0" wrapText="false" shrinkToFit="false"/>
    </xf>
    <xf xfId="0" fontId="3" numFmtId="0" fillId="4" borderId="15" applyFont="1" applyNumberFormat="0" applyFill="1" applyBorder="1" applyAlignment="1">
      <alignment horizontal="center" vertical="center" textRotation="0" wrapText="false" shrinkToFit="false"/>
    </xf>
    <xf xfId="0" fontId="3" numFmtId="0" fillId="4" borderId="11" applyFont="1" applyNumberFormat="0" applyFill="1" applyBorder="1" applyAlignment="1">
      <alignment horizontal="center" vertical="center" textRotation="0" wrapText="false" shrinkToFit="false"/>
    </xf>
    <xf xfId="0" fontId="3" numFmtId="0" fillId="4" borderId="7" applyFont="1" applyNumberFormat="0" applyFill="1" applyBorder="1" applyAlignment="1">
      <alignment horizontal="center" vertical="center" textRotation="0" wrapText="false" shrinkToFit="false"/>
    </xf>
    <xf xfId="0" fontId="3" numFmtId="0" fillId="4" borderId="9" applyFont="1" applyNumberFormat="0" applyFill="1" applyBorder="1" applyAlignment="1">
      <alignment horizontal="center" vertical="center" textRotation="0" wrapText="false" shrinkToFit="false"/>
    </xf>
    <xf xfId="0" fontId="3" numFmtId="0" fillId="4" borderId="12" applyFont="1" applyNumberFormat="0" applyFill="1" applyBorder="1" applyAlignment="1">
      <alignment horizontal="center" vertical="center" textRotation="0" wrapText="false" shrinkToFit="false"/>
    </xf>
    <xf xfId="0" fontId="3" numFmtId="0" fillId="4" borderId="24" applyFont="1" applyNumberFormat="0" applyFill="1" applyBorder="1" applyAlignment="1">
      <alignment horizontal="center" vertical="center" textRotation="0" wrapText="false" shrinkToFit="false"/>
    </xf>
    <xf xfId="0" fontId="3" numFmtId="0" fillId="4" borderId="3" applyFont="1" applyNumberFormat="0" applyFill="1" applyBorder="1" applyAlignment="1">
      <alignment horizontal="center" vertical="center" textRotation="0" wrapText="false" shrinkToFit="false"/>
    </xf>
  </cellXfs>
  <cellStyles count="1">
    <cellStyle name="Normal" xfId="0" builtinId="0"/>
  </cellStyles>
  <dxfs count="20">
    <dxf>
      <font>
        <b val="1"/>
        <color rgb="ffc5efce"/>
      </font>
      <fill>
        <patternFill patternType="solid">
          <fgColor rgb="ffc5efce"/>
          <bgColor rgb="ffc5efce"/>
        </patternFill>
      </fill>
      <border/>
    </dxf>
    <dxf>
      <font>
        <color rgb="FFFFFFFF"/>
      </font>
      <fill>
        <patternFill patternType="solid">
          <fgColor rgb="FFFFFFFF"/>
          <bgColor rgb="FFFFFFFF"/>
        </patternFill>
      </fill>
      <border/>
    </dxf>
    <dxf>
      <font>
        <b val="1"/>
        <color rgb="ffc5efce"/>
      </font>
      <fill>
        <patternFill patternType="solid">
          <fgColor rgb="ffc5efce"/>
          <bgColor rgb="ffc5efce"/>
        </patternFill>
      </fill>
      <border/>
    </dxf>
    <dxf>
      <font>
        <color rgb="FFFFFFFF"/>
      </font>
      <fill>
        <patternFill patternType="solid">
          <fgColor rgb="FFFFFFFF"/>
          <bgColor rgb="FFFFFFFF"/>
        </patternFill>
      </fill>
      <border/>
    </dxf>
    <dxf>
      <font>
        <b val="1"/>
        <color rgb="ffc5efce"/>
      </font>
      <fill>
        <patternFill patternType="solid">
          <fgColor rgb="ffc5efce"/>
          <bgColor rgb="ffc5efce"/>
        </patternFill>
      </fill>
      <border/>
    </dxf>
    <dxf>
      <font>
        <color rgb="FFFFFFFF"/>
      </font>
      <fill>
        <patternFill patternType="solid">
          <fgColor rgb="FFFFFFFF"/>
          <bgColor rgb="FFFFFFFF"/>
        </patternFill>
      </fill>
      <border/>
    </dxf>
    <dxf>
      <numFmt numFmtId="164" formatCode="0.00%"/>
      <border/>
    </dxf>
    <dxf>
      <font>
        <b val="1"/>
        <color rgb="FF006100"/>
      </font>
      <fill>
        <patternFill patternType="solid">
          <fgColor rgb="ffc5efce"/>
          <bgColor rgb="ffc5efce"/>
        </patternFill>
      </fill>
      <border/>
    </dxf>
    <dxf>
      <font>
        <b val="1"/>
        <color rgb="ff9C0006"/>
      </font>
      <fill>
        <patternFill patternType="solid">
          <fgColor rgb="fff7c6ce"/>
          <bgColor rgb="fff7c6ce"/>
        </patternFill>
      </fill>
      <border/>
    </dxf>
    <dxf>
      <fill>
        <patternFill patternType="solid">
          <fgColor rgb="FFFFFFFF"/>
          <bgColor rgb="FFFFFFFF"/>
        </patternFill>
      </fill>
      <border/>
    </dxf>
    <dxf>
      <fill>
        <patternFill patternType="solid">
          <fgColor rgb="FFFFFFFF"/>
          <bgColor rgb="FFFFFFFF"/>
        </patternFill>
      </fill>
      <border/>
    </dxf>
    <dxf>
      <font>
        <b val="1"/>
        <color rgb="FF006100"/>
      </font>
      <fill>
        <patternFill patternType="solid">
          <fgColor rgb="ffc5efce"/>
          <bgColor rgb="ffc5efce"/>
        </patternFill>
      </fill>
      <border/>
    </dxf>
    <dxf>
      <font>
        <b val="0"/>
        <color rgb="ff404040"/>
      </font>
      <fill>
        <patternFill patternType="solid">
          <fgColor rgb="ffc5efce"/>
          <bgColor rgb="ffc5efce"/>
        </patternFill>
      </fill>
      <alignment horizontal="left" vertical="center"/>
      <border/>
    </dxf>
    <dxf>
      <font>
        <color rgb="ffc5efce"/>
      </font>
      <fill>
        <patternFill patternType="solid">
          <fgColor rgb="ffc5efce"/>
          <bgColor rgb="ffc5efce"/>
        </patternFill>
      </fill>
      <border/>
    </dxf>
    <dxf>
      <font>
        <color rgb="fff7c6ce"/>
      </font>
      <fill>
        <patternFill patternType="solid">
          <fgColor rgb="fff7c6ce"/>
          <bgColor rgb="fff7c6ce"/>
        </patternFill>
      </fill>
      <border/>
    </dxf>
    <dxf>
      <font>
        <b val="1"/>
        <color rgb="ff9C0006"/>
      </font>
      <fill>
        <patternFill patternType="solid">
          <fgColor rgb="fff7c6ce"/>
          <bgColor rgb="fff7c6ce"/>
        </patternFill>
      </fill>
      <border/>
    </dxf>
    <dxf>
      <font>
        <b val="1"/>
        <sz val="14"/>
        <color rgb="FFFFFFFF"/>
      </font>
      <fill>
        <patternFill patternType="solid">
          <fgColor rgb="FFFFFFFF"/>
          <bgColor rgb="FFFFFFFF"/>
        </patternFill>
      </fill>
      <border/>
    </dxf>
    <dxf>
      <font>
        <b val="1"/>
        <sz val="14"/>
        <color rgb="FFFFFFFF"/>
      </font>
      <fill>
        <patternFill patternType="solid">
          <fgColor rgb="FFFFFFFF"/>
          <bgColor rgb="FFFFFFFF"/>
        </patternFill>
      </fill>
      <border/>
    </dxf>
    <dxf>
      <font>
        <b val="1"/>
        <sz val="14"/>
        <color rgb="FFFFFFFF"/>
      </font>
      <fill>
        <patternFill patternType="solid">
          <fgColor rgb="FFFFFFFF"/>
          <bgColor rgb="FFFFFFFF"/>
        </patternFill>
      </fill>
      <border/>
    </dxf>
    <dxf>
      <font>
        <b val="1"/>
        <sz val="14"/>
        <color rgb="FFFFFFFF"/>
      </font>
      <fill>
        <patternFill patternType="solid">
          <fgColor rgb="FFFFFFFF"/>
          <bgColor rgb="FFFFFFFF"/>
        </patternFill>
      </fill>
      <border/>
    </dxf>
  </dxfs>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90e635342c8a91baf3ae1bf8c583e9df.jpg"/></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0</xdr:rowOff>
    </xdr:from>
    <xdr:ext cx="4762500" cy="847725"/>
    <xdr:pic>
      <xdr:nvPicPr>
        <xdr:cNvPr id="1" name="Gwinnett County Public Schools_Logo" descr="Gwinnett County Public Schools"/>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Z702"/>
  <sheetViews>
    <sheetView tabSelected="1" workbookViewId="0" showGridLines="true" showRowColHeaders="0">
      <selection activeCell="B12" sqref="B12:E12"/>
    </sheetView>
  </sheetViews>
  <sheetFormatPr defaultRowHeight="14.4" outlineLevelRow="0" outlineLevelCol="0"/>
  <cols>
    <col min="2" max="2" width="25" customWidth="true" style="0"/>
    <col min="3" max="3" width="25" customWidth="true" style="0"/>
    <col min="4" max="4" width="25" customWidth="true" style="0"/>
    <col min="5" max="5" width="25" customWidth="true" style="0"/>
    <col min="702" max="702" width="9.10" hidden="true" style="0"/>
  </cols>
  <sheetData>
    <row r="2" spans="1:702">
      <c r="B2"/>
    </row>
    <row r="8" spans="1:702" customHeight="1" ht="64">
      <c r="B8" s="2" t="s">
        <v>1</v>
      </c>
    </row>
    <row r="10" spans="1:702">
      <c r="B10" s="3" t="s">
        <v>2</v>
      </c>
    </row>
    <row r="12" spans="1:702" customHeight="1" ht="432">
      <c r="B12" s="4" t="s">
        <v>3</v>
      </c>
      <c r="C12" s="4"/>
      <c r="D12" s="4"/>
      <c r="E12" s="4"/>
    </row>
    <row r="702" spans="1:702">
      <c r="ZZ702" s="1" t="s">
        <v>0</v>
      </c>
    </row>
  </sheetData>
  <sheetProtection password="E36C" sheet="1" objects="1" scenarios="1" formatCells="1" formatColumns="1" formatRows="1" insertColumns="1" insertRows="1" insertHyperlinks="0" deleteColumns="1" deleteRows="1" sort="1" autoFilter="1" pivotTables="1" selectLockedCells="0" selectUnlockedCells="0"/>
  <mergeCells>
    <mergeCell ref="B8:E8"/>
    <mergeCell ref="B12:E1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F19"/>
  <sheetViews>
    <sheetView tabSelected="0" workbookViewId="0" showGridLines="true" showRowColHeaders="0">
      <pane ySplit="10" topLeftCell="A11" activePane="bottomLeft" state="frozen"/>
      <selection pane="bottomLeft" activeCell="B11" sqref="B11:BF16"/>
    </sheetView>
  </sheetViews>
  <sheetFormatPr defaultRowHeight="14.4" outlineLevelRow="0" outlineLevelCol="0"/>
  <cols>
    <col min="2" max="2" width="20" customWidth="true" style="0"/>
    <col min="3" max="3" width="20" customWidth="true" style="0"/>
    <col min="4" max="4" width="9.10" hidden="true" style="0"/>
    <col min="5" max="5" width="20" customWidth="true" style="0"/>
    <col min="6" max="6" width="2" customWidth="true" style="0"/>
    <col min="7" max="7" width="1" customWidth="true" style="0"/>
    <col min="8" max="8" width="1" customWidth="true" style="0"/>
    <col min="9" max="9" width="1" customWidth="true" style="0"/>
    <col min="10" max="10" width="1" customWidth="true" style="0"/>
    <col min="11" max="11" width="1" customWidth="true" style="0"/>
    <col min="12" max="12" width="1" customWidth="true" style="0"/>
    <col min="13" max="13" width="1" customWidth="true" style="0"/>
    <col min="14" max="14" width="1" customWidth="true" style="0"/>
    <col min="15" max="15" width="1" customWidth="true" style="0"/>
    <col min="16" max="16" width="1" customWidth="true" style="0"/>
    <col min="17" max="17" width="1" customWidth="true" style="0"/>
    <col min="18" max="18" width="1" customWidth="true" style="0"/>
    <col min="19" max="19" width="1" customWidth="true" style="0"/>
    <col min="20" max="20" width="1" customWidth="true" style="0"/>
    <col min="21" max="21" width="1" customWidth="true" style="0"/>
    <col min="22" max="22" width="1" customWidth="true" style="0"/>
    <col min="23" max="23" width="1" customWidth="true" style="0"/>
    <col min="24" max="24" width="1" customWidth="true" style="0"/>
    <col min="25" max="25" width="1" customWidth="true" style="0"/>
    <col min="26" max="26" width="1" customWidth="true" style="0"/>
    <col min="27" max="27" width="1" customWidth="true" style="0"/>
    <col min="28" max="28" width="1" customWidth="true" style="0"/>
    <col min="29" max="29" width="1" customWidth="true" style="0"/>
    <col min="30" max="30" width="1" customWidth="true" style="0"/>
    <col min="31" max="31" width="1" customWidth="true" style="0"/>
    <col min="32" max="32" width="1" customWidth="true" style="0"/>
    <col min="33" max="33" width="1" customWidth="true" style="0"/>
    <col min="34" max="34" width="1" customWidth="true" style="0"/>
    <col min="35" max="35" width="1" customWidth="true" style="0"/>
    <col min="36" max="36" width="1" customWidth="true" style="0"/>
    <col min="37" max="37" width="1" customWidth="true" style="0"/>
    <col min="38" max="38" width="1" customWidth="true" style="0"/>
    <col min="39" max="39" width="1" customWidth="true" style="0"/>
    <col min="40" max="40" width="1" customWidth="true" style="0"/>
    <col min="41" max="41" width="1" customWidth="true" style="0"/>
    <col min="42" max="42" width="1" customWidth="true" style="0"/>
    <col min="43" max="43" width="1" customWidth="true" style="0"/>
    <col min="44" max="44" width="1" customWidth="true" style="0"/>
    <col min="45" max="45" width="1" customWidth="true" style="0"/>
    <col min="46" max="46" width="1" customWidth="true" style="0"/>
    <col min="47" max="47" width="1" customWidth="true" style="0"/>
    <col min="48" max="48" width="1" customWidth="true" style="0"/>
    <col min="49" max="49" width="1" customWidth="true" style="0"/>
    <col min="50" max="50" width="1" customWidth="true" style="0"/>
    <col min="51" max="51" width="1" customWidth="true" style="0"/>
    <col min="52" max="52" width="1" customWidth="true" style="0"/>
    <col min="53" max="53" width="1" customWidth="true" style="0"/>
    <col min="54" max="54" width="1" customWidth="true" style="0"/>
    <col min="55" max="55" width="1" customWidth="true" style="0"/>
    <col min="56" max="56" width="1" customWidth="true" style="0"/>
    <col min="57" max="57" width="2" customWidth="true" style="0"/>
    <col min="58" max="58" width="20" customWidth="true" style="0"/>
  </cols>
  <sheetData>
    <row r="2" spans="1:58" hidden="true"/>
    <row r="3" spans="1:58" hidden="true"/>
    <row r="4" spans="1:58" hidden="true"/>
    <row r="5" spans="1:58" hidden="true"/>
    <row r="6" spans="1:58" hidden="true"/>
    <row r="7" spans="1:58" hidden="true"/>
    <row r="8" spans="1:58">
      <c r="B8" s="3" t="s">
        <v>5</v>
      </c>
    </row>
    <row r="10" spans="1:58" customHeight="1" ht="32">
      <c r="B10" s="8" t="s">
        <v>6</v>
      </c>
      <c r="C10" s="8" t="s">
        <v>7</v>
      </c>
      <c r="D10" s="8" t="s">
        <v>8</v>
      </c>
      <c r="E10" s="8" t="s">
        <v>9</v>
      </c>
      <c r="F10" s="8" t="s">
        <v>10</v>
      </c>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t="s">
        <v>11</v>
      </c>
    </row>
    <row r="11" spans="1:58">
      <c r="B11" s="5">
        <v>1</v>
      </c>
      <c r="C11" s="6" t="str">
        <f>'1'!C21</f>
        <v>0</v>
      </c>
      <c r="D11" s="6"/>
      <c r="E11" s="6" t="str">
        <f>'1'!F21</f>
        <v>0</v>
      </c>
      <c r="F11" s="18"/>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3"/>
      <c r="BF11" s="7" t="str">
        <f>IF(E11= 1, "Complete: no errors",IF(COUNTIF(INDIRECT("'"&amp;B11:B13&amp;"'!H11:H12"),"*"&amp;"response"&amp;"*"),"Errors present","No errors"))</f>
        <v>0</v>
      </c>
    </row>
    <row r="12" spans="1:58">
      <c r="B12" s="5"/>
      <c r="C12" s="6"/>
      <c r="D12" s="6"/>
      <c r="E12" s="6"/>
      <c r="F12" s="19"/>
      <c r="G12" s="26" t="str">
        <f>E11 &gt;= 0.02</f>
        <v>0</v>
      </c>
      <c r="H12" s="27" t="str">
        <f>E11 &gt;= 0.04</f>
        <v>0</v>
      </c>
      <c r="I12" s="27" t="str">
        <f>E11 &gt;= 0.06</f>
        <v>0</v>
      </c>
      <c r="J12" s="27" t="str">
        <f>E11 &gt;= 0.08</f>
        <v>0</v>
      </c>
      <c r="K12" s="27" t="str">
        <f>E11 &gt;= 0.1</f>
        <v>0</v>
      </c>
      <c r="L12" s="27" t="str">
        <f>E11 &gt;= 0.12</f>
        <v>0</v>
      </c>
      <c r="M12" s="27" t="str">
        <f>E11 &gt;= 0.14</f>
        <v>0</v>
      </c>
      <c r="N12" s="27" t="str">
        <f>E11 &gt;= 0.16</f>
        <v>0</v>
      </c>
      <c r="O12" s="27" t="str">
        <f>E11 &gt;= 0.18</f>
        <v>0</v>
      </c>
      <c r="P12" s="27" t="str">
        <f>E11 &gt;= 0.2</f>
        <v>0</v>
      </c>
      <c r="Q12" s="27" t="str">
        <f>E11 &gt;= 0.22</f>
        <v>0</v>
      </c>
      <c r="R12" s="27" t="str">
        <f>E11 &gt;= 0.24</f>
        <v>0</v>
      </c>
      <c r="S12" s="27" t="str">
        <f>E11 &gt;= 0.26</f>
        <v>0</v>
      </c>
      <c r="T12" s="27" t="str">
        <f>E11 &gt;= 0.28</f>
        <v>0</v>
      </c>
      <c r="U12" s="27" t="str">
        <f>E11 &gt;= 0.3</f>
        <v>0</v>
      </c>
      <c r="V12" s="27" t="str">
        <f>E11 &gt;= 0.32</f>
        <v>0</v>
      </c>
      <c r="W12" s="27" t="str">
        <f>E11 &gt;= 0.34</f>
        <v>0</v>
      </c>
      <c r="X12" s="27" t="str">
        <f>E11 &gt;= 0.36</f>
        <v>0</v>
      </c>
      <c r="Y12" s="27" t="str">
        <f>E11 &gt;= 0.38</f>
        <v>0</v>
      </c>
      <c r="Z12" s="27" t="str">
        <f>E11 &gt;= 0.4</f>
        <v>0</v>
      </c>
      <c r="AA12" s="27" t="str">
        <f>E11 &gt;= 0.42</f>
        <v>0</v>
      </c>
      <c r="AB12" s="27" t="str">
        <f>E11 &gt;= 0.44</f>
        <v>0</v>
      </c>
      <c r="AC12" s="27" t="str">
        <f>E11 &gt;= 0.46</f>
        <v>0</v>
      </c>
      <c r="AD12" s="27" t="str">
        <f>E11 &gt;= 0.48</f>
        <v>0</v>
      </c>
      <c r="AE12" s="27" t="str">
        <f>E11 &gt;= 0.5</f>
        <v>0</v>
      </c>
      <c r="AF12" s="27" t="str">
        <f>E11 &gt;= 0.52</f>
        <v>0</v>
      </c>
      <c r="AG12" s="27" t="str">
        <f>E11 &gt;= 0.54</f>
        <v>0</v>
      </c>
      <c r="AH12" s="27" t="str">
        <f>E11 &gt;= 0.56</f>
        <v>0</v>
      </c>
      <c r="AI12" s="27" t="str">
        <f>E11 &gt;= 0.58</f>
        <v>0</v>
      </c>
      <c r="AJ12" s="27" t="str">
        <f>E11 &gt;= 0.6</f>
        <v>0</v>
      </c>
      <c r="AK12" s="27" t="str">
        <f>E11 &gt;= 0.62</f>
        <v>0</v>
      </c>
      <c r="AL12" s="27" t="str">
        <f>E11 &gt;= 0.64</f>
        <v>0</v>
      </c>
      <c r="AM12" s="27" t="str">
        <f>E11 &gt;= 0.66</f>
        <v>0</v>
      </c>
      <c r="AN12" s="27" t="str">
        <f>E11 &gt;= 0.68</f>
        <v>0</v>
      </c>
      <c r="AO12" s="27" t="str">
        <f>E11 &gt;= 0.7</f>
        <v>0</v>
      </c>
      <c r="AP12" s="27" t="str">
        <f>E11 &gt;= 0.72</f>
        <v>0</v>
      </c>
      <c r="AQ12" s="27" t="str">
        <f>E11 &gt;= 0.74</f>
        <v>0</v>
      </c>
      <c r="AR12" s="27" t="str">
        <f>E11 &gt;= 0.76</f>
        <v>0</v>
      </c>
      <c r="AS12" s="27" t="str">
        <f>E11 &gt;= 0.78</f>
        <v>0</v>
      </c>
      <c r="AT12" s="27" t="str">
        <f>E11 &gt;= 0.8</f>
        <v>0</v>
      </c>
      <c r="AU12" s="27" t="str">
        <f>E11 &gt;= 0.82</f>
        <v>0</v>
      </c>
      <c r="AV12" s="27" t="str">
        <f>E11 &gt;= 0.84</f>
        <v>0</v>
      </c>
      <c r="AW12" s="27" t="str">
        <f>E11 &gt;= 0.86</f>
        <v>0</v>
      </c>
      <c r="AX12" s="27" t="str">
        <f>E11 &gt;= 0.88</f>
        <v>0</v>
      </c>
      <c r="AY12" s="27" t="str">
        <f>E11 &gt;= 0.9</f>
        <v>0</v>
      </c>
      <c r="AZ12" s="27" t="str">
        <f>E11 &gt;= 0.92</f>
        <v>0</v>
      </c>
      <c r="BA12" s="27" t="str">
        <f>E11 &gt;= 0.94</f>
        <v>0</v>
      </c>
      <c r="BB12" s="27" t="str">
        <f>E11 &gt;= 0.96</f>
        <v>0</v>
      </c>
      <c r="BC12" s="27" t="str">
        <f>E11 &gt;= 0.98</f>
        <v>0</v>
      </c>
      <c r="BD12" s="28" t="str">
        <f>E11 &gt;= 1</f>
        <v>0</v>
      </c>
      <c r="BE12" s="24"/>
      <c r="BF12" s="7"/>
    </row>
    <row r="13" spans="1:58">
      <c r="B13" s="5"/>
      <c r="C13" s="6"/>
      <c r="D13" s="6"/>
      <c r="E13" s="6"/>
      <c r="F13" s="20"/>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5"/>
      <c r="BF13" s="7"/>
    </row>
    <row r="14" spans="1:58">
      <c r="B14" s="5">
        <v>2</v>
      </c>
      <c r="C14" s="6" t="str">
        <f>'2'!C26</f>
        <v>0</v>
      </c>
      <c r="D14" s="6"/>
      <c r="E14" s="6" t="str">
        <f>'2'!F26</f>
        <v>0</v>
      </c>
      <c r="F14" s="18"/>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3"/>
      <c r="BF14" s="7" t="str">
        <f>IF(E14= 1, "Complete: no errors",IF(COUNTIF(INDIRECT("'"&amp;B14:B16&amp;"'!H11:H12"),"*"&amp;"response"&amp;"*"),"Errors present","No errors"))</f>
        <v>0</v>
      </c>
    </row>
    <row r="15" spans="1:58">
      <c r="B15" s="5"/>
      <c r="C15" s="6"/>
      <c r="D15" s="6"/>
      <c r="E15" s="6"/>
      <c r="F15" s="19"/>
      <c r="G15" s="26" t="str">
        <f>E14 &gt;= 0.02</f>
        <v>0</v>
      </c>
      <c r="H15" s="27" t="str">
        <f>E14 &gt;= 0.04</f>
        <v>0</v>
      </c>
      <c r="I15" s="27" t="str">
        <f>E14 &gt;= 0.06</f>
        <v>0</v>
      </c>
      <c r="J15" s="27" t="str">
        <f>E14 &gt;= 0.08</f>
        <v>0</v>
      </c>
      <c r="K15" s="27" t="str">
        <f>E14 &gt;= 0.1</f>
        <v>0</v>
      </c>
      <c r="L15" s="27" t="str">
        <f>E14 &gt;= 0.12</f>
        <v>0</v>
      </c>
      <c r="M15" s="27" t="str">
        <f>E14 &gt;= 0.14</f>
        <v>0</v>
      </c>
      <c r="N15" s="27" t="str">
        <f>E14 &gt;= 0.16</f>
        <v>0</v>
      </c>
      <c r="O15" s="27" t="str">
        <f>E14 &gt;= 0.18</f>
        <v>0</v>
      </c>
      <c r="P15" s="27" t="str">
        <f>E14 &gt;= 0.2</f>
        <v>0</v>
      </c>
      <c r="Q15" s="27" t="str">
        <f>E14 &gt;= 0.22</f>
        <v>0</v>
      </c>
      <c r="R15" s="27" t="str">
        <f>E14 &gt;= 0.24</f>
        <v>0</v>
      </c>
      <c r="S15" s="27" t="str">
        <f>E14 &gt;= 0.26</f>
        <v>0</v>
      </c>
      <c r="T15" s="27" t="str">
        <f>E14 &gt;= 0.28</f>
        <v>0</v>
      </c>
      <c r="U15" s="27" t="str">
        <f>E14 &gt;= 0.3</f>
        <v>0</v>
      </c>
      <c r="V15" s="27" t="str">
        <f>E14 &gt;= 0.32</f>
        <v>0</v>
      </c>
      <c r="W15" s="27" t="str">
        <f>E14 &gt;= 0.34</f>
        <v>0</v>
      </c>
      <c r="X15" s="27" t="str">
        <f>E14 &gt;= 0.36</f>
        <v>0</v>
      </c>
      <c r="Y15" s="27" t="str">
        <f>E14 &gt;= 0.38</f>
        <v>0</v>
      </c>
      <c r="Z15" s="27" t="str">
        <f>E14 &gt;= 0.4</f>
        <v>0</v>
      </c>
      <c r="AA15" s="27" t="str">
        <f>E14 &gt;= 0.42</f>
        <v>0</v>
      </c>
      <c r="AB15" s="27" t="str">
        <f>E14 &gt;= 0.44</f>
        <v>0</v>
      </c>
      <c r="AC15" s="27" t="str">
        <f>E14 &gt;= 0.46</f>
        <v>0</v>
      </c>
      <c r="AD15" s="27" t="str">
        <f>E14 &gt;= 0.48</f>
        <v>0</v>
      </c>
      <c r="AE15" s="27" t="str">
        <f>E14 &gt;= 0.5</f>
        <v>0</v>
      </c>
      <c r="AF15" s="27" t="str">
        <f>E14 &gt;= 0.52</f>
        <v>0</v>
      </c>
      <c r="AG15" s="27" t="str">
        <f>E14 &gt;= 0.54</f>
        <v>0</v>
      </c>
      <c r="AH15" s="27" t="str">
        <f>E14 &gt;= 0.56</f>
        <v>0</v>
      </c>
      <c r="AI15" s="27" t="str">
        <f>E14 &gt;= 0.58</f>
        <v>0</v>
      </c>
      <c r="AJ15" s="27" t="str">
        <f>E14 &gt;= 0.6</f>
        <v>0</v>
      </c>
      <c r="AK15" s="27" t="str">
        <f>E14 &gt;= 0.62</f>
        <v>0</v>
      </c>
      <c r="AL15" s="27" t="str">
        <f>E14 &gt;= 0.64</f>
        <v>0</v>
      </c>
      <c r="AM15" s="27" t="str">
        <f>E14 &gt;= 0.66</f>
        <v>0</v>
      </c>
      <c r="AN15" s="27" t="str">
        <f>E14 &gt;= 0.68</f>
        <v>0</v>
      </c>
      <c r="AO15" s="27" t="str">
        <f>E14 &gt;= 0.7</f>
        <v>0</v>
      </c>
      <c r="AP15" s="27" t="str">
        <f>E14 &gt;= 0.72</f>
        <v>0</v>
      </c>
      <c r="AQ15" s="27" t="str">
        <f>E14 &gt;= 0.74</f>
        <v>0</v>
      </c>
      <c r="AR15" s="27" t="str">
        <f>E14 &gt;= 0.76</f>
        <v>0</v>
      </c>
      <c r="AS15" s="27" t="str">
        <f>E14 &gt;= 0.78</f>
        <v>0</v>
      </c>
      <c r="AT15" s="27" t="str">
        <f>E14 &gt;= 0.8</f>
        <v>0</v>
      </c>
      <c r="AU15" s="27" t="str">
        <f>E14 &gt;= 0.82</f>
        <v>0</v>
      </c>
      <c r="AV15" s="27" t="str">
        <f>E14 &gt;= 0.84</f>
        <v>0</v>
      </c>
      <c r="AW15" s="27" t="str">
        <f>E14 &gt;= 0.86</f>
        <v>0</v>
      </c>
      <c r="AX15" s="27" t="str">
        <f>E14 &gt;= 0.88</f>
        <v>0</v>
      </c>
      <c r="AY15" s="27" t="str">
        <f>E14 &gt;= 0.9</f>
        <v>0</v>
      </c>
      <c r="AZ15" s="27" t="str">
        <f>E14 &gt;= 0.92</f>
        <v>0</v>
      </c>
      <c r="BA15" s="27" t="str">
        <f>E14 &gt;= 0.94</f>
        <v>0</v>
      </c>
      <c r="BB15" s="27" t="str">
        <f>E14 &gt;= 0.96</f>
        <v>0</v>
      </c>
      <c r="BC15" s="27" t="str">
        <f>E14 &gt;= 0.98</f>
        <v>0</v>
      </c>
      <c r="BD15" s="28" t="str">
        <f>E14 &gt;= 1</f>
        <v>0</v>
      </c>
      <c r="BE15" s="24"/>
      <c r="BF15" s="7"/>
    </row>
    <row r="16" spans="1:58">
      <c r="B16" s="5"/>
      <c r="C16" s="6"/>
      <c r="D16" s="6"/>
      <c r="E16" s="6"/>
      <c r="F16" s="20"/>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5"/>
      <c r="BF16" s="7"/>
    </row>
    <row r="17" spans="1:58">
      <c r="B17" s="35" t="s">
        <v>4</v>
      </c>
      <c r="C17" s="37" t="str">
        <f>SUM(C11:C16)</f>
        <v>0</v>
      </c>
      <c r="D17" s="37"/>
      <c r="E17" s="37" t="str">
        <f>IF($C$17=0,1,SUMPRODUCT(C11:C16, E11:E16) / $C$17)</f>
        <v>0</v>
      </c>
      <c r="F17" s="38"/>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40"/>
      <c r="BF17" s="50"/>
    </row>
    <row r="18" spans="1:58">
      <c r="B18" s="36"/>
      <c r="C18" s="41"/>
      <c r="D18" s="41"/>
      <c r="E18" s="41"/>
      <c r="F18" s="42"/>
      <c r="G18" s="43" t="str">
        <f>E17 &gt;= 0.02</f>
        <v>0</v>
      </c>
      <c r="H18" s="44" t="str">
        <f>E17 &gt;= 0.04</f>
        <v>0</v>
      </c>
      <c r="I18" s="44" t="str">
        <f>E17 &gt;= 0.06</f>
        <v>0</v>
      </c>
      <c r="J18" s="44" t="str">
        <f>E17 &gt;= 0.08</f>
        <v>0</v>
      </c>
      <c r="K18" s="44" t="str">
        <f>E17 &gt;= 0.1</f>
        <v>0</v>
      </c>
      <c r="L18" s="44" t="str">
        <f>E17 &gt;= 0.12</f>
        <v>0</v>
      </c>
      <c r="M18" s="44" t="str">
        <f>E17 &gt;= 0.14</f>
        <v>0</v>
      </c>
      <c r="N18" s="44" t="str">
        <f>E17 &gt;= 0.16</f>
        <v>0</v>
      </c>
      <c r="O18" s="44" t="str">
        <f>E17 &gt;= 0.18</f>
        <v>0</v>
      </c>
      <c r="P18" s="44" t="str">
        <f>E17 &gt;= 0.2</f>
        <v>0</v>
      </c>
      <c r="Q18" s="44" t="str">
        <f>E17 &gt;= 0.22</f>
        <v>0</v>
      </c>
      <c r="R18" s="44" t="str">
        <f>E17 &gt;= 0.24</f>
        <v>0</v>
      </c>
      <c r="S18" s="44" t="str">
        <f>E17 &gt;= 0.26</f>
        <v>0</v>
      </c>
      <c r="T18" s="44" t="str">
        <f>E17 &gt;= 0.28</f>
        <v>0</v>
      </c>
      <c r="U18" s="44" t="str">
        <f>E17 &gt;= 0.3</f>
        <v>0</v>
      </c>
      <c r="V18" s="44" t="str">
        <f>E17 &gt;= 0.32</f>
        <v>0</v>
      </c>
      <c r="W18" s="44" t="str">
        <f>E17 &gt;= 0.34</f>
        <v>0</v>
      </c>
      <c r="X18" s="44" t="str">
        <f>E17 &gt;= 0.36</f>
        <v>0</v>
      </c>
      <c r="Y18" s="44" t="str">
        <f>E17 &gt;= 0.38</f>
        <v>0</v>
      </c>
      <c r="Z18" s="44" t="str">
        <f>E17 &gt;= 0.4</f>
        <v>0</v>
      </c>
      <c r="AA18" s="44" t="str">
        <f>E17 &gt;= 0.42</f>
        <v>0</v>
      </c>
      <c r="AB18" s="44" t="str">
        <f>E17 &gt;= 0.44</f>
        <v>0</v>
      </c>
      <c r="AC18" s="44" t="str">
        <f>E17 &gt;= 0.46</f>
        <v>0</v>
      </c>
      <c r="AD18" s="44" t="str">
        <f>E17 &gt;= 0.48</f>
        <v>0</v>
      </c>
      <c r="AE18" s="44" t="str">
        <f>E17 &gt;= 0.5</f>
        <v>0</v>
      </c>
      <c r="AF18" s="44" t="str">
        <f>E17 &gt;= 0.52</f>
        <v>0</v>
      </c>
      <c r="AG18" s="44" t="str">
        <f>E17 &gt;= 0.54</f>
        <v>0</v>
      </c>
      <c r="AH18" s="44" t="str">
        <f>E17 &gt;= 0.56</f>
        <v>0</v>
      </c>
      <c r="AI18" s="44" t="str">
        <f>E17 &gt;= 0.58</f>
        <v>0</v>
      </c>
      <c r="AJ18" s="44" t="str">
        <f>E17 &gt;= 0.6</f>
        <v>0</v>
      </c>
      <c r="AK18" s="44" t="str">
        <f>E17 &gt;= 0.62</f>
        <v>0</v>
      </c>
      <c r="AL18" s="44" t="str">
        <f>E17 &gt;= 0.64</f>
        <v>0</v>
      </c>
      <c r="AM18" s="44" t="str">
        <f>E17 &gt;= 0.66</f>
        <v>0</v>
      </c>
      <c r="AN18" s="44" t="str">
        <f>E17 &gt;= 0.68</f>
        <v>0</v>
      </c>
      <c r="AO18" s="44" t="str">
        <f>E17 &gt;= 0.7</f>
        <v>0</v>
      </c>
      <c r="AP18" s="44" t="str">
        <f>E17 &gt;= 0.72</f>
        <v>0</v>
      </c>
      <c r="AQ18" s="44" t="str">
        <f>E17 &gt;= 0.74</f>
        <v>0</v>
      </c>
      <c r="AR18" s="44" t="str">
        <f>E17 &gt;= 0.76</f>
        <v>0</v>
      </c>
      <c r="AS18" s="44" t="str">
        <f>E17 &gt;= 0.78</f>
        <v>0</v>
      </c>
      <c r="AT18" s="44" t="str">
        <f>E17 &gt;= 0.8</f>
        <v>0</v>
      </c>
      <c r="AU18" s="44" t="str">
        <f>E17 &gt;= 0.82</f>
        <v>0</v>
      </c>
      <c r="AV18" s="44" t="str">
        <f>E17 &gt;= 0.84</f>
        <v>0</v>
      </c>
      <c r="AW18" s="44" t="str">
        <f>E17 &gt;= 0.86</f>
        <v>0</v>
      </c>
      <c r="AX18" s="44" t="str">
        <f>E17 &gt;= 0.88</f>
        <v>0</v>
      </c>
      <c r="AY18" s="44" t="str">
        <f>E17 &gt;= 0.9</f>
        <v>0</v>
      </c>
      <c r="AZ18" s="44" t="str">
        <f>E17 &gt;= 0.92</f>
        <v>0</v>
      </c>
      <c r="BA18" s="44" t="str">
        <f>E17 &gt;= 0.94</f>
        <v>0</v>
      </c>
      <c r="BB18" s="44" t="str">
        <f>E17 &gt;= 0.96</f>
        <v>0</v>
      </c>
      <c r="BC18" s="44" t="str">
        <f>E17 &gt;= 0.98</f>
        <v>0</v>
      </c>
      <c r="BD18" s="45" t="str">
        <f>E17 &gt;= 1</f>
        <v>0</v>
      </c>
      <c r="BE18" s="46"/>
      <c r="BF18" s="51"/>
    </row>
    <row r="19" spans="1:58">
      <c r="B19" s="36"/>
      <c r="C19" s="41"/>
      <c r="D19" s="41"/>
      <c r="E19" s="41"/>
      <c r="F19" s="47"/>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c r="AP19" s="48"/>
      <c r="AQ19" s="48"/>
      <c r="AR19" s="48"/>
      <c r="AS19" s="48"/>
      <c r="AT19" s="48"/>
      <c r="AU19" s="48"/>
      <c r="AV19" s="48"/>
      <c r="AW19" s="48"/>
      <c r="AX19" s="48"/>
      <c r="AY19" s="48"/>
      <c r="AZ19" s="48"/>
      <c r="BA19" s="48"/>
      <c r="BB19" s="48"/>
      <c r="BC19" s="48"/>
      <c r="BD19" s="48"/>
      <c r="BE19" s="49"/>
      <c r="BF19" s="51"/>
    </row>
  </sheetData>
  <sheetProtection password="E36C" sheet="1" objects="1" scenarios="1" formatCells="1" formatColumns="1" formatRows="1" insertColumns="1" insertRows="1" insertHyperlinks="0" deleteColumns="1" deleteRows="1" sort="1" autoFilter="1" pivotTables="1" selectLockedCells="0" selectUnlockedCells="0"/>
  <mergeCells>
    <mergeCell ref="B11:B13"/>
    <mergeCell ref="C11:C13"/>
    <mergeCell ref="D11:D13"/>
    <mergeCell ref="E11:E13"/>
    <mergeCell ref="BF11:BF13"/>
    <mergeCell ref="B14:B16"/>
    <mergeCell ref="C14:C16"/>
    <mergeCell ref="D14:D16"/>
    <mergeCell ref="E14:E16"/>
    <mergeCell ref="BF14:BF16"/>
    <mergeCell ref="B17:B19"/>
    <mergeCell ref="C17:C19"/>
    <mergeCell ref="D17:D19"/>
    <mergeCell ref="E17:E19"/>
    <mergeCell ref="BF17:BF19"/>
    <mergeCell ref="F10:BE10"/>
  </mergeCells>
  <conditionalFormatting sqref="G12:BD12">
    <cfRule type="expression" dxfId="0" priority="1">
      <formula>G$12</formula>
    </cfRule>
    <cfRule type="expression" dxfId="1" priority="2">
      <formula>NOT(G$12)</formula>
    </cfRule>
  </conditionalFormatting>
  <conditionalFormatting sqref="G15:BD15">
    <cfRule type="expression" dxfId="2" priority="3">
      <formula>G$15</formula>
    </cfRule>
    <cfRule type="expression" dxfId="3" priority="4">
      <formula>NOT(G$15)</formula>
    </cfRule>
  </conditionalFormatting>
  <conditionalFormatting sqref="G18:BD18">
    <cfRule type="expression" dxfId="4" priority="5">
      <formula>G$18</formula>
    </cfRule>
    <cfRule type="expression" dxfId="5" priority="6">
      <formula>NOT(G$18)</formula>
    </cfRule>
  </conditionalFormatting>
  <conditionalFormatting sqref="E11:E19">
    <cfRule type="expression" dxfId="6" priority="7">
      <formula>TRUE</formula>
    </cfRule>
  </conditionalFormatting>
  <conditionalFormatting sqref="BF11:BF16">
    <cfRule type="expression" dxfId="7" priority="8">
      <formula>$BF11 ="Complete: no errors"</formula>
    </cfRule>
    <cfRule type="expression" dxfId="8" priority="9">
      <formula>$BF11 = "Errors present"</formula>
    </cfRule>
  </conditionalFormatting>
  <conditionalFormatting sqref="B11:BF16">
    <cfRule type="expression" dxfId="9" priority="10">
      <formula>OR(IF(ISNUMBER($B11),MOD($B11,2)=1,FALSE),IF(ISNUMBER($B10),MOD($B10,2)=1,FALSE),IF(ISNUMBER($B9),MOD($B9,2)=1,FALSE))</formula>
    </cfRule>
  </conditionalFormatting>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21"/>
  <sheetViews>
    <sheetView tabSelected="0" workbookViewId="0" showGridLines="true" showRowColHeaders="0">
      <pane ySplit="10" topLeftCell="A11" activePane="bottomLeft" state="frozen"/>
      <selection pane="bottomLeft" activeCell="I11" sqref="I11:I20"/>
    </sheetView>
  </sheetViews>
  <sheetFormatPr defaultRowHeight="14.4" outlineLevelRow="0" outlineLevelCol="0"/>
  <cols>
    <col min="2" max="2" width="9.10" hidden="true" style="0"/>
    <col min="3" max="3" width="10" customWidth="true" style="0"/>
    <col min="4" max="4" width="66" customWidth="true" style="0"/>
    <col min="5" max="5" width="9.10" hidden="true" style="0"/>
    <col min="6" max="6" width="25" customWidth="true" style="0"/>
    <col min="7" max="7" width="66" customWidth="true" style="0"/>
    <col min="8" max="8" width="40" customWidth="true" style="0"/>
    <col min="9" max="9" width="9.10" hidden="true" style="0"/>
  </cols>
  <sheetData>
    <row r="2" spans="1:9">
      <c r="C2" s="3" t="s">
        <v>12</v>
      </c>
    </row>
    <row r="3" spans="1:9" hidden="true"/>
    <row r="4" spans="1:9" hidden="true"/>
    <row r="5" spans="1:9" hidden="true"/>
    <row r="6" spans="1:9" hidden="true"/>
    <row r="7" spans="1:9" hidden="true"/>
    <row r="8" spans="1:9" hidden="true"/>
    <row r="10" spans="1:9" customHeight="1" ht="32">
      <c r="C10" s="8" t="s">
        <v>13</v>
      </c>
      <c r="D10" s="8" t="s">
        <v>14</v>
      </c>
      <c r="E10" s="8" t="s">
        <v>8</v>
      </c>
      <c r="F10" s="9" t="s">
        <v>15</v>
      </c>
      <c r="G10" s="9" t="s">
        <v>16</v>
      </c>
      <c r="H10" s="9" t="s">
        <v>17</v>
      </c>
      <c r="I10" t="s">
        <v>8</v>
      </c>
    </row>
    <row r="11" spans="1:9">
      <c r="B11" s="1">
        <v>1814403</v>
      </c>
      <c r="C11" s="5" t="s">
        <v>19</v>
      </c>
      <c r="D11" s="16" t="s">
        <v>20</v>
      </c>
      <c r="E11" s="6"/>
      <c r="F11" s="10" t="s">
        <v>18</v>
      </c>
      <c r="G11" s="11"/>
      <c r="H11" s="17" t="str">
        <f>IF(AND(
            OR(OFFSET($H11,0,-2) = "-",OFFSET($H11,0,-2) = ""),OFFSET($H11,0,-1) = ""),"Incomplete","Complete")</f>
        <v>0</v>
      </c>
      <c r="I11" s="1">
        <v>1</v>
      </c>
    </row>
    <row r="12" spans="1:9">
      <c r="B12" s="1">
        <v>1814404</v>
      </c>
      <c r="C12" s="5" t="s">
        <v>21</v>
      </c>
      <c r="D12" s="16" t="s">
        <v>22</v>
      </c>
      <c r="E12" s="6"/>
      <c r="F12" s="10" t="s">
        <v>18</v>
      </c>
      <c r="G12" s="11"/>
      <c r="H12" s="17" t="str">
        <f>IF(AND(
            OR(OFFSET($H12,0,-2) = "-",OFFSET($H12,0,-2) = ""),OFFSET($H12,0,-1) = ""),"Incomplete","Complete")</f>
        <v>0</v>
      </c>
      <c r="I12" s="1">
        <v>0</v>
      </c>
    </row>
    <row r="13" spans="1:9">
      <c r="B13" s="1">
        <v>1814405</v>
      </c>
      <c r="C13" s="5" t="s">
        <v>23</v>
      </c>
      <c r="D13" s="16" t="s">
        <v>24</v>
      </c>
      <c r="E13" s="6"/>
      <c r="F13" s="10"/>
      <c r="G13" s="11"/>
      <c r="H13" s="17" t="str">
        <f>IF(AND(ISNA(MATCH(OFFSET($H13,0,-2)&amp;"",responseOption0,0)),NOT(TRIM(OFFSET($H13,0,-2)) = "")),"Response must be one of "&amp;INDEX(responseValidationRulesGroup0,3,1),IF(AND(IF(ISNA(INDEX(responseValidationRulesGroup0,MATCH(OFFSET($H13,0,-2)&amp;"",responseOption0,0),2)),FALSE,INDEX(responseValidationRulesGroup0,MATCH(OFFSET($H13,0,-2)&amp;"",responseOption0,0),2)),TRIM(OFFSET($H13,0,-1)) = ""),"A comment is required for this response",IF(IF(ISNA(INDEX(responseValidationRulesGroup0,MATCH(OFFSET($H13,0,-2)&amp;"",responseOption0,0),3)),FALSE,INDEX(responseValidationRulesGroup0,MATCH(OFFSET($H13,0,-2)&amp;"",responseOption0,0),3)),IF(TRIM(OFFSET($H13,0,-1)) = "","Complete","The comment must be left blank for this response"),IF(TRIM(OFFSET($H13,0,-2))="","Incomplete", "Complete"))))</f>
        <v>0</v>
      </c>
      <c r="I13" s="1">
        <v>1</v>
      </c>
    </row>
    <row r="14" spans="1:9">
      <c r="B14" s="1">
        <v>1814406</v>
      </c>
      <c r="C14" s="5" t="s">
        <v>25</v>
      </c>
      <c r="D14" s="16" t="s">
        <v>26</v>
      </c>
      <c r="E14" s="6"/>
      <c r="F14" s="10"/>
      <c r="G14" s="11"/>
      <c r="H14" s="17" t="str">
        <f>IF(AND(ISNA(MATCH(OFFSET($H14,0,-2)&amp;"",responseOption1,0)),NOT(TRIM(OFFSET($H14,0,-2)) = "")),"Response must be one of "&amp;INDEX(responseValidationRulesGroup1,5,1),IF(AND(IF(ISNA(INDEX(responseValidationRulesGroup1,MATCH(OFFSET($H14,0,-2)&amp;"",responseOption1,0),2)),FALSE,INDEX(responseValidationRulesGroup1,MATCH(OFFSET($H14,0,-2)&amp;"",responseOption1,0),2)),TRIM(OFFSET($H14,0,-1)) = ""),"A comment is required for this response",IF(IF(ISNA(INDEX(responseValidationRulesGroup1,MATCH(OFFSET($H14,0,-2)&amp;"",responseOption1,0),3)),FALSE,INDEX(responseValidationRulesGroup1,MATCH(OFFSET($H14,0,-2)&amp;"",responseOption1,0),3)),IF(TRIM(OFFSET($H14,0,-1)) = "","Complete","The comment must be left blank for this response"),IF(TRIM(OFFSET($H14,0,-2))="","Incomplete", "Complete"))))</f>
        <v>0</v>
      </c>
      <c r="I14" s="1">
        <v>0</v>
      </c>
    </row>
    <row r="15" spans="1:9">
      <c r="B15" s="1">
        <v>1814407</v>
      </c>
      <c r="C15" s="5" t="s">
        <v>27</v>
      </c>
      <c r="D15" s="16" t="s">
        <v>28</v>
      </c>
      <c r="E15" s="6"/>
      <c r="F15" s="10"/>
      <c r="G15" s="11"/>
      <c r="H15" s="17" t="str">
        <f>IF(AND(ISNA(MATCH(OFFSET($H15,0,-2)&amp;"",responseOption2,0)),NOT(TRIM(OFFSET($H15,0,-2)) = "")),"Response must be one of "&amp;INDEX(responseValidationRulesGroup2,3,1),IF(AND(IF(ISNA(INDEX(responseValidationRulesGroup2,MATCH(OFFSET($H15,0,-2)&amp;"",responseOption2,0),2)),FALSE,INDEX(responseValidationRulesGroup2,MATCH(OFFSET($H15,0,-2)&amp;"",responseOption2,0),2)),TRIM(OFFSET($H15,0,-1)) = ""),"A comment is required for this response",IF(IF(ISNA(INDEX(responseValidationRulesGroup2,MATCH(OFFSET($H15,0,-2)&amp;"",responseOption2,0),3)),FALSE,INDEX(responseValidationRulesGroup2,MATCH(OFFSET($H15,0,-2)&amp;"",responseOption2,0),3)),IF(TRIM(OFFSET($H15,0,-1)) = "","Complete","The comment must be left blank for this response"),IF(TRIM(OFFSET($H15,0,-2))="","Incomplete", "Complete"))))</f>
        <v>0</v>
      </c>
      <c r="I15" s="1">
        <v>1</v>
      </c>
    </row>
    <row r="16" spans="1:9">
      <c r="B16" s="1">
        <v>1814408</v>
      </c>
      <c r="C16" s="5" t="s">
        <v>29</v>
      </c>
      <c r="D16" s="16" t="s">
        <v>30</v>
      </c>
      <c r="E16" s="6"/>
      <c r="F16" s="10"/>
      <c r="G16" s="11"/>
      <c r="H16" s="17" t="str">
        <f>IF(AND(ISNA(MATCH(OFFSET($H16,0,-2)&amp;"",responseOption3,0)),NOT(TRIM(OFFSET($H16,0,-2)) = "")),"Response must be one of "&amp;INDEX(responseValidationRulesGroup3,3,1),IF(AND(IF(ISNA(INDEX(responseValidationRulesGroup3,MATCH(OFFSET($H16,0,-2)&amp;"",responseOption3,0),2)),FALSE,INDEX(responseValidationRulesGroup3,MATCH(OFFSET($H16,0,-2)&amp;"",responseOption3,0),2)),TRIM(OFFSET($H16,0,-1)) = ""),"A comment is required for this response",IF(IF(ISNA(INDEX(responseValidationRulesGroup3,MATCH(OFFSET($H16,0,-2)&amp;"",responseOption3,0),3)),FALSE,INDEX(responseValidationRulesGroup3,MATCH(OFFSET($H16,0,-2)&amp;"",responseOption3,0),3)),IF(TRIM(OFFSET($H16,0,-1)) = "","Complete","The comment must be left blank for this response"),IF(TRIM(OFFSET($H16,0,-2))="","Incomplete", "Complete"))))</f>
        <v>0</v>
      </c>
      <c r="I16" s="1">
        <v>0</v>
      </c>
    </row>
    <row r="17" spans="1:9">
      <c r="B17" s="1">
        <v>1814409</v>
      </c>
      <c r="C17" s="5" t="s">
        <v>31</v>
      </c>
      <c r="D17" s="16" t="s">
        <v>32</v>
      </c>
      <c r="E17" s="6"/>
      <c r="F17" s="10"/>
      <c r="G17" s="11"/>
      <c r="H17" s="17" t="str">
        <f>IF(AND(ISNA(MATCH(OFFSET($H17,0,-2)&amp;"",responseOption4,0)),NOT(TRIM(OFFSET($H17,0,-2)) = "")),"Response must be one of "&amp;INDEX(responseValidationRulesGroup4,3,1),IF(AND(IF(ISNA(INDEX(responseValidationRulesGroup4,MATCH(OFFSET($H17,0,-2)&amp;"",responseOption4,0),2)),FALSE,INDEX(responseValidationRulesGroup4,MATCH(OFFSET($H17,0,-2)&amp;"",responseOption4,0),2)),TRIM(OFFSET($H17,0,-1)) = ""),"A comment is required for this response",IF(IF(ISNA(INDEX(responseValidationRulesGroup4,MATCH(OFFSET($H17,0,-2)&amp;"",responseOption4,0),3)),FALSE,INDEX(responseValidationRulesGroup4,MATCH(OFFSET($H17,0,-2)&amp;"",responseOption4,0),3)),IF(TRIM(OFFSET($H17,0,-1)) = "","Complete","The comment must be left blank for this response"),IF(TRIM(OFFSET($H17,0,-2))="","Incomplete", "Complete"))))</f>
        <v>0</v>
      </c>
      <c r="I17" s="1">
        <v>1</v>
      </c>
    </row>
    <row r="18" spans="1:9">
      <c r="B18" s="1">
        <v>1814410</v>
      </c>
      <c r="C18" s="5" t="s">
        <v>33</v>
      </c>
      <c r="D18" s="16" t="s">
        <v>34</v>
      </c>
      <c r="E18" s="6"/>
      <c r="F18" s="10"/>
      <c r="G18" s="11"/>
      <c r="H18" s="17" t="str">
        <f>IF(AND(ISNA(MATCH(OFFSET($H18,0,-2)&amp;"",responseOption5,0)),NOT(TRIM(OFFSET($H18,0,-2)) = "")),"Response must be one of "&amp;INDEX(responseValidationRulesGroup5,3,1),IF(AND(IF(ISNA(INDEX(responseValidationRulesGroup5,MATCH(OFFSET($H18,0,-2)&amp;"",responseOption5,0),2)),FALSE,INDEX(responseValidationRulesGroup5,MATCH(OFFSET($H18,0,-2)&amp;"",responseOption5,0),2)),TRIM(OFFSET($H18,0,-1)) = ""),"A comment is required for this response",IF(IF(ISNA(INDEX(responseValidationRulesGroup5,MATCH(OFFSET($H18,0,-2)&amp;"",responseOption5,0),3)),FALSE,INDEX(responseValidationRulesGroup5,MATCH(OFFSET($H18,0,-2)&amp;"",responseOption5,0),3)),IF(TRIM(OFFSET($H18,0,-1)) = "","Complete","The comment must be left blank for this response"),IF(TRIM(OFFSET($H18,0,-2))="","Incomplete", "Complete"))))</f>
        <v>0</v>
      </c>
      <c r="I18" s="1">
        <v>0</v>
      </c>
    </row>
    <row r="19" spans="1:9">
      <c r="B19" s="1">
        <v>1814411</v>
      </c>
      <c r="C19" s="5" t="s">
        <v>35</v>
      </c>
      <c r="D19" s="16" t="s">
        <v>36</v>
      </c>
      <c r="E19" s="6"/>
      <c r="F19" s="10"/>
      <c r="G19" s="11"/>
      <c r="H19" s="17" t="str">
        <f>IF(AND(ISNA(MATCH(OFFSET($H19,0,-2)&amp;"",responseOption6,0)),NOT(TRIM(OFFSET($H19,0,-2)) = "")),"Response must be one of "&amp;INDEX(responseValidationRulesGroup6,3,1),IF(AND(IF(ISNA(INDEX(responseValidationRulesGroup6,MATCH(OFFSET($H19,0,-2)&amp;"",responseOption6,0),2)),FALSE,INDEX(responseValidationRulesGroup6,MATCH(OFFSET($H19,0,-2)&amp;"",responseOption6,0),2)),TRIM(OFFSET($H19,0,-1)) = ""),"A comment is required for this response",IF(IF(ISNA(INDEX(responseValidationRulesGroup6,MATCH(OFFSET($H19,0,-2)&amp;"",responseOption6,0),3)),FALSE,INDEX(responseValidationRulesGroup6,MATCH(OFFSET($H19,0,-2)&amp;"",responseOption6,0),3)),IF(TRIM(OFFSET($H19,0,-1)) = "","Complete","The comment must be left blank for this response"),IF(TRIM(OFFSET($H19,0,-2))="","Incomplete", "Complete"))))</f>
        <v>0</v>
      </c>
      <c r="I19" s="1">
        <v>1</v>
      </c>
    </row>
    <row r="20" spans="1:9">
      <c r="B20" s="1">
        <v>1814412</v>
      </c>
      <c r="C20" s="5" t="s">
        <v>37</v>
      </c>
      <c r="D20" s="16" t="s">
        <v>38</v>
      </c>
      <c r="E20" s="6"/>
      <c r="F20" s="10"/>
      <c r="G20" s="11"/>
      <c r="H20" s="17" t="str">
        <f>IF(AND(ISNA(MATCH(OFFSET($H20,0,-2)&amp;"",responseOption7,0)),NOT(TRIM(OFFSET($H20,0,-2)) = "")),"Response must be one of "&amp;INDEX(responseValidationRulesGroup7,3,1),IF(AND(IF(ISNA(INDEX(responseValidationRulesGroup7,MATCH(OFFSET($H20,0,-2)&amp;"",responseOption7,0),2)),FALSE,INDEX(responseValidationRulesGroup7,MATCH(OFFSET($H20,0,-2)&amp;"",responseOption7,0),2)),TRIM(OFFSET($H20,0,-1)) = ""),"A comment is required for this response",IF(IF(ISNA(INDEX(responseValidationRulesGroup7,MATCH(OFFSET($H20,0,-2)&amp;"",responseOption7,0),3)),FALSE,INDEX(responseValidationRulesGroup7,MATCH(OFFSET($H20,0,-2)&amp;"",responseOption7,0),3)),IF(TRIM(OFFSET($H20,0,-1)) = "","Complete","The comment must be left blank for this response"),IF(TRIM(OFFSET($H20,0,-2))="","Incomplete", "Complete"))))</f>
        <v>0</v>
      </c>
      <c r="I20" s="1">
        <v>0</v>
      </c>
    </row>
    <row r="21" spans="1:9" customHeight="1" ht="27">
      <c r="B21">
        <v>-1</v>
      </c>
      <c r="C21" s="12" t="str">
        <f>COUNTIF(I11:I20,"&lt;&gt;-1")</f>
        <v>0</v>
      </c>
      <c r="D21" s="13"/>
      <c r="E21" s="14"/>
      <c r="F21" s="15" t="str">
        <f>IF(C21=0,1,(COUNTIF(H11:H20,TRUE)+COUNTIF(H11:H20,"Complete")) / (C21))</f>
        <v>0</v>
      </c>
      <c r="G21" s="13"/>
      <c r="H21" s="13"/>
    </row>
  </sheetData>
  <sheetProtection password="E36C" sheet="1" objects="1" scenarios="1" formatCells="1" formatColumns="1" formatRows="1" insertColumns="1" insertRows="1" insertHyperlinks="0" deleteColumns="1" deleteRows="1" sort="1" autoFilter="1" pivotTables="1" selectLockedCells="0" selectUnlockedCells="0"/>
  <mergeCells>
    <mergeCell ref="C21:D21"/>
    <mergeCell ref="F21:G21"/>
  </mergeCells>
  <conditionalFormatting sqref="C11:G20">
    <cfRule type="expression" dxfId="10" priority="1">
      <formula>$I11=1</formula>
    </cfRule>
  </conditionalFormatting>
  <conditionalFormatting sqref="H11:H20">
    <cfRule type="expression" dxfId="11" priority="2">
      <formula>$H11 ="Complete"</formula>
    </cfRule>
    <cfRule type="expression" dxfId="12" priority="3">
      <formula>$H11=1</formula>
    </cfRule>
    <cfRule type="expression" dxfId="13" priority="4">
      <formula>$H11</formula>
    </cfRule>
    <cfRule type="expression" dxfId="14" priority="5">
      <formula>AND(NOT(ISBLANK($H11)), NOT($H11))</formula>
    </cfRule>
    <cfRule type="expression" dxfId="15" priority="6">
      <formula>NOT(ISBLANK($H11))</formula>
    </cfRule>
  </conditionalFormatting>
  <dataValidations count="8">
    <dataValidation type="list" errorStyle="stop" operator="between" allowBlank="0" showDropDown="0" showInputMessage="0" showErrorMessage="1" errorTitle="Error - Invalid Input" error="Please select an item from the drop-down list." sqref="F18">
      <formula1>"Yes- Items are subject to tariffs and will be listed in the comments section,No- Items are not subjected to tariffs"</formula1>
    </dataValidation>
    <dataValidation type="list" errorStyle="stop" operator="between" allowBlank="0" showDropDown="0" showInputMessage="0" showErrorMessage="1" errorTitle="Error - Invalid Input" error="Please select an item from the drop-down list." sqref="F16">
      <formula1>"Yes- I have read the Instructions &amp; Conditions in it's entirety and agree to conform to it's every requirement.,No - Please explain"</formula1>
    </dataValidation>
    <dataValidation type="list" errorStyle="stop" operator="between" allowBlank="0" showDropDown="0" showInputMessage="0" showErrorMessage="1" errorTitle="Error - Invalid Input" error="Please select an item from the drop-down list." sqref="F19">
      <formula1>"Yes- I agree if awarded that all the above listed documents make up the contract between GCPS and my firm,No- I do not agree. Please explain."</formula1>
    </dataValidation>
    <dataValidation type="list" errorStyle="stop" operator="between" allowBlank="0" showDropDown="0" showInputMessage="0" showErrorMessage="1" errorTitle="Error - Invalid Input" error="Please select an item from the drop-down list." sqref="F14">
      <formula1>"Email Notification,Gwinnett County Public Schools Website,Georgia Procurement Registry,Other - Please explain in comments section"</formula1>
    </dataValidation>
    <dataValidation type="list" errorStyle="stop" operator="between" allowBlank="0" showDropDown="0" showInputMessage="0" showErrorMessage="1" errorTitle="Error - Invalid Input" error="Please select an item from the drop-down list." sqref="F15">
      <formula1>"Yes - Forms have been submitted,No - We have done business with GCPS within the last 12 months"</formula1>
    </dataValidation>
    <dataValidation type="list" errorStyle="stop" operator="between" allowBlank="0" showDropDown="0" showInputMessage="0" showErrorMessage="1" errorTitle="Error - Invalid Input" error="Please select an item from the drop-down list." sqref="F17">
      <formula1>"Yes- I have read the Section 14 Cost provisions and agree to conform to its every requirement.,No- Please explain"</formula1>
    </dataValidation>
    <dataValidation type="list" errorStyle="stop" operator="between" allowBlank="0" showDropDown="0" showInputMessage="0" showErrorMessage="1" errorTitle="Error - Invalid Input" error="Please select an item from the drop-down list." sqref="F13">
      <formula1>"Yes- I am aware of this requirement,No- we are not aware of this requirement"</formula1>
    </dataValidation>
    <dataValidation type="list" errorStyle="stop" operator="between" allowBlank="0" showDropDown="0" showInputMessage="0" showErrorMessage="1" errorTitle="Error - Invalid Input" error="Please select an item from the drop-down list." sqref="F20">
      <formula1>"Yes- I confirm that my COI fully match every item highlighted in blue on the COI sample.,No - Explain"</formula1>
    </dataValidation>
  </dataValidation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26"/>
  <sheetViews>
    <sheetView tabSelected="0" workbookViewId="0" showGridLines="true" showRowColHeaders="0">
      <pane ySplit="10" topLeftCell="A11" activePane="bottomLeft" state="frozen"/>
      <selection pane="bottomLeft" activeCell="I11" sqref="I11:I25"/>
    </sheetView>
  </sheetViews>
  <sheetFormatPr defaultRowHeight="14.4" outlineLevelRow="0" outlineLevelCol="0"/>
  <cols>
    <col min="2" max="2" width="9.10" hidden="true" style="0"/>
    <col min="3" max="3" width="10" customWidth="true" style="0"/>
    <col min="4" max="4" width="66" customWidth="true" style="0"/>
    <col min="5" max="5" width="9.10" hidden="true" style="0"/>
    <col min="6" max="6" width="25" customWidth="true" style="0"/>
    <col min="7" max="7" width="66" customWidth="true" style="0"/>
    <col min="8" max="8" width="40" customWidth="true" style="0"/>
    <col min="9" max="9" width="9.10" hidden="true" style="0"/>
  </cols>
  <sheetData>
    <row r="2" spans="1:9">
      <c r="C2" s="3" t="s">
        <v>39</v>
      </c>
    </row>
    <row r="3" spans="1:9" hidden="true"/>
    <row r="4" spans="1:9" hidden="true"/>
    <row r="5" spans="1:9" hidden="true"/>
    <row r="6" spans="1:9" hidden="true"/>
    <row r="7" spans="1:9" hidden="true"/>
    <row r="8" spans="1:9" hidden="true"/>
    <row r="10" spans="1:9" customHeight="1" ht="32">
      <c r="C10" s="8" t="s">
        <v>13</v>
      </c>
      <c r="D10" s="8" t="s">
        <v>14</v>
      </c>
      <c r="E10" s="8" t="s">
        <v>8</v>
      </c>
      <c r="F10" s="9" t="s">
        <v>15</v>
      </c>
      <c r="G10" s="9" t="s">
        <v>16</v>
      </c>
      <c r="H10" s="9" t="s">
        <v>17</v>
      </c>
      <c r="I10" t="s">
        <v>8</v>
      </c>
    </row>
    <row r="11" spans="1:9" customHeight="1" ht="20">
      <c r="B11" s="1"/>
      <c r="C11" s="31" t="s">
        <v>40</v>
      </c>
      <c r="D11" s="30"/>
      <c r="E11" s="32"/>
      <c r="F11" s="29"/>
      <c r="G11" s="33"/>
      <c r="H11" s="17" t="str">
        <f>IF(AND(ISBLANK(F11),ISBLANK(G11)),"?", "Anything entered in this row will be ignored")</f>
        <v>0</v>
      </c>
      <c r="I11" s="1">
        <v>-1</v>
      </c>
    </row>
    <row r="12" spans="1:9">
      <c r="B12" s="1">
        <v>1814413</v>
      </c>
      <c r="C12" s="5" t="s">
        <v>41</v>
      </c>
      <c r="D12" s="16" t="s">
        <v>42</v>
      </c>
      <c r="E12" s="6"/>
      <c r="F12" s="10" t="s">
        <v>18</v>
      </c>
      <c r="G12" s="11"/>
      <c r="H12" s="17" t="str">
        <f>IF(AND(
            OR(OFFSET($H12,0,-2) = "-",OFFSET($H12,0,-2) = ""),OFFSET($H12,0,-1) = ""),"Incomplete","Complete")</f>
        <v>0</v>
      </c>
      <c r="I12" s="1">
        <v>1</v>
      </c>
    </row>
    <row r="13" spans="1:9">
      <c r="B13" s="1">
        <v>1814414</v>
      </c>
      <c r="C13" s="5" t="s">
        <v>43</v>
      </c>
      <c r="D13" s="16" t="s">
        <v>44</v>
      </c>
      <c r="E13" s="6"/>
      <c r="F13" s="10" t="s">
        <v>18</v>
      </c>
      <c r="G13" s="11"/>
      <c r="H13" s="17" t="str">
        <f>IF(AND(
            OR(OFFSET($H13,0,-2) = "-",OFFSET($H13,0,-2) = ""),OFFSET($H13,0,-1) = ""),"Incomplete","Complete")</f>
        <v>0</v>
      </c>
      <c r="I13" s="1">
        <v>0</v>
      </c>
    </row>
    <row r="14" spans="1:9">
      <c r="B14" s="1">
        <v>1814415</v>
      </c>
      <c r="C14" s="5" t="s">
        <v>45</v>
      </c>
      <c r="D14" s="16" t="s">
        <v>46</v>
      </c>
      <c r="E14" s="6"/>
      <c r="F14" s="10" t="s">
        <v>18</v>
      </c>
      <c r="G14" s="11"/>
      <c r="H14" s="17" t="str">
        <f>IF(AND(
            OR(OFFSET($H14,0,-2) = "-",OFFSET($H14,0,-2) = ""),OFFSET($H14,0,-1) = ""),"Incomplete","Complete")</f>
        <v>0</v>
      </c>
      <c r="I14" s="1">
        <v>1</v>
      </c>
    </row>
    <row r="15" spans="1:9">
      <c r="B15" s="1">
        <v>1814416</v>
      </c>
      <c r="C15" s="5" t="s">
        <v>47</v>
      </c>
      <c r="D15" s="16" t="s">
        <v>48</v>
      </c>
      <c r="E15" s="6"/>
      <c r="F15" s="10" t="s">
        <v>18</v>
      </c>
      <c r="G15" s="11"/>
      <c r="H15" s="17" t="str">
        <f>IF(AND(
            OR(OFFSET($H15,0,-2) = "-",OFFSET($H15,0,-2) = ""),OFFSET($H15,0,-1) = ""),"Incomplete","Complete")</f>
        <v>0</v>
      </c>
      <c r="I15" s="1">
        <v>0</v>
      </c>
    </row>
    <row r="16" spans="1:9" customHeight="1" ht="20">
      <c r="B16" s="1"/>
      <c r="C16" s="31" t="s">
        <v>49</v>
      </c>
      <c r="D16" s="30"/>
      <c r="E16" s="32"/>
      <c r="F16" s="29"/>
      <c r="G16" s="33"/>
      <c r="H16" s="17" t="str">
        <f>IF(AND(ISBLANK(F16),ISBLANK(G16)),"?", "Anything entered in this row will be ignored")</f>
        <v>0</v>
      </c>
      <c r="I16" s="1">
        <v>-1</v>
      </c>
    </row>
    <row r="17" spans="1:9">
      <c r="B17" s="1">
        <v>1814417</v>
      </c>
      <c r="C17" s="5" t="s">
        <v>50</v>
      </c>
      <c r="D17" s="16" t="s">
        <v>42</v>
      </c>
      <c r="E17" s="6"/>
      <c r="F17" s="10" t="s">
        <v>18</v>
      </c>
      <c r="G17" s="11"/>
      <c r="H17" s="17" t="str">
        <f>IF(AND(
            OR(OFFSET($H17,0,-2) = "-",OFFSET($H17,0,-2) = ""),OFFSET($H17,0,-1) = ""),"Incomplete","Complete")</f>
        <v>0</v>
      </c>
      <c r="I17" s="1">
        <v>1</v>
      </c>
    </row>
    <row r="18" spans="1:9">
      <c r="B18" s="1">
        <v>1814418</v>
      </c>
      <c r="C18" s="5" t="s">
        <v>51</v>
      </c>
      <c r="D18" s="16" t="s">
        <v>44</v>
      </c>
      <c r="E18" s="6"/>
      <c r="F18" s="10" t="s">
        <v>18</v>
      </c>
      <c r="G18" s="11"/>
      <c r="H18" s="17" t="str">
        <f>IF(AND(
            OR(OFFSET($H18,0,-2) = "-",OFFSET($H18,0,-2) = ""),OFFSET($H18,0,-1) = ""),"Incomplete","Complete")</f>
        <v>0</v>
      </c>
      <c r="I18" s="1">
        <v>0</v>
      </c>
    </row>
    <row r="19" spans="1:9">
      <c r="B19" s="1">
        <v>1814419</v>
      </c>
      <c r="C19" s="5" t="s">
        <v>52</v>
      </c>
      <c r="D19" s="16" t="s">
        <v>46</v>
      </c>
      <c r="E19" s="6"/>
      <c r="F19" s="10" t="s">
        <v>18</v>
      </c>
      <c r="G19" s="11"/>
      <c r="H19" s="17" t="str">
        <f>IF(AND(
            OR(OFFSET($H19,0,-2) = "-",OFFSET($H19,0,-2) = ""),OFFSET($H19,0,-1) = ""),"Incomplete","Complete")</f>
        <v>0</v>
      </c>
      <c r="I19" s="1">
        <v>1</v>
      </c>
    </row>
    <row r="20" spans="1:9">
      <c r="B20" s="1">
        <v>1814420</v>
      </c>
      <c r="C20" s="5" t="s">
        <v>53</v>
      </c>
      <c r="D20" s="16" t="s">
        <v>48</v>
      </c>
      <c r="E20" s="6"/>
      <c r="F20" s="10" t="s">
        <v>18</v>
      </c>
      <c r="G20" s="11"/>
      <c r="H20" s="17" t="str">
        <f>IF(AND(
            OR(OFFSET($H20,0,-2) = "-",OFFSET($H20,0,-2) = ""),OFFSET($H20,0,-1) = ""),"Incomplete","Complete")</f>
        <v>0</v>
      </c>
      <c r="I20" s="1">
        <v>0</v>
      </c>
    </row>
    <row r="21" spans="1:9" customHeight="1" ht="20">
      <c r="B21" s="1"/>
      <c r="C21" s="31" t="s">
        <v>54</v>
      </c>
      <c r="D21" s="30"/>
      <c r="E21" s="32"/>
      <c r="F21" s="29"/>
      <c r="G21" s="33"/>
      <c r="H21" s="17" t="str">
        <f>IF(AND(ISBLANK(F21),ISBLANK(G21)),"?", "Anything entered in this row will be ignored")</f>
        <v>0</v>
      </c>
      <c r="I21" s="1">
        <v>-1</v>
      </c>
    </row>
    <row r="22" spans="1:9">
      <c r="B22" s="1">
        <v>1814421</v>
      </c>
      <c r="C22" s="5" t="s">
        <v>55</v>
      </c>
      <c r="D22" s="16" t="s">
        <v>42</v>
      </c>
      <c r="E22" s="6"/>
      <c r="F22" s="10" t="s">
        <v>18</v>
      </c>
      <c r="G22" s="11"/>
      <c r="H22" s="17" t="str">
        <f>IF(AND(
            OR(OFFSET($H22,0,-2) = "-",OFFSET($H22,0,-2) = ""),OFFSET($H22,0,-1) = ""),"Incomplete","Complete")</f>
        <v>0</v>
      </c>
      <c r="I22" s="1">
        <v>1</v>
      </c>
    </row>
    <row r="23" spans="1:9">
      <c r="B23" s="1">
        <v>1814422</v>
      </c>
      <c r="C23" s="5" t="s">
        <v>56</v>
      </c>
      <c r="D23" s="16" t="s">
        <v>44</v>
      </c>
      <c r="E23" s="6"/>
      <c r="F23" s="10" t="s">
        <v>18</v>
      </c>
      <c r="G23" s="11"/>
      <c r="H23" s="17" t="str">
        <f>IF(AND(
            OR(OFFSET($H23,0,-2) = "-",OFFSET($H23,0,-2) = ""),OFFSET($H23,0,-1) = ""),"Incomplete","Complete")</f>
        <v>0</v>
      </c>
      <c r="I23" s="1">
        <v>0</v>
      </c>
    </row>
    <row r="24" spans="1:9">
      <c r="B24" s="1">
        <v>1814423</v>
      </c>
      <c r="C24" s="5" t="s">
        <v>57</v>
      </c>
      <c r="D24" s="16" t="s">
        <v>46</v>
      </c>
      <c r="E24" s="6"/>
      <c r="F24" s="10" t="s">
        <v>18</v>
      </c>
      <c r="G24" s="11"/>
      <c r="H24" s="17" t="str">
        <f>IF(AND(
            OR(OFFSET($H24,0,-2) = "-",OFFSET($H24,0,-2) = ""),OFFSET($H24,0,-1) = ""),"Incomplete","Complete")</f>
        <v>0</v>
      </c>
      <c r="I24" s="1">
        <v>1</v>
      </c>
    </row>
    <row r="25" spans="1:9">
      <c r="B25" s="1">
        <v>1814424</v>
      </c>
      <c r="C25" s="5" t="s">
        <v>58</v>
      </c>
      <c r="D25" s="16" t="s">
        <v>48</v>
      </c>
      <c r="E25" s="6"/>
      <c r="F25" s="10" t="s">
        <v>18</v>
      </c>
      <c r="G25" s="11"/>
      <c r="H25" s="17" t="str">
        <f>IF(AND(
            OR(OFFSET($H25,0,-2) = "-",OFFSET($H25,0,-2) = ""),OFFSET($H25,0,-1) = ""),"Incomplete","Complete")</f>
        <v>0</v>
      </c>
      <c r="I25" s="1">
        <v>0</v>
      </c>
    </row>
    <row r="26" spans="1:9" customHeight="1" ht="27">
      <c r="B26">
        <v>-1</v>
      </c>
      <c r="C26" s="12" t="str">
        <f>COUNTIF(I11:I25,"&lt;&gt;-1")</f>
        <v>0</v>
      </c>
      <c r="D26" s="13"/>
      <c r="E26" s="14"/>
      <c r="F26" s="15" t="str">
        <f>IF(C26=0,1,(COUNTIF(H11:H25,TRUE)+COUNTIF(H11:H25,"Complete")) / (C26))</f>
        <v>0</v>
      </c>
      <c r="G26" s="13"/>
      <c r="H26" s="13"/>
    </row>
  </sheetData>
  <sheetProtection password="E36C" sheet="1" objects="1" scenarios="1" formatCells="1" formatColumns="1" formatRows="1" insertColumns="1" insertRows="1" insertHyperlinks="0" deleteColumns="1" deleteRows="1" sort="1" autoFilter="1" pivotTables="1" selectLockedCells="0" selectUnlockedCells="0"/>
  <mergeCells>
    <mergeCell ref="C11:E11"/>
    <mergeCell ref="C16:E16"/>
    <mergeCell ref="C21:E21"/>
    <mergeCell ref="C26:D26"/>
    <mergeCell ref="F26:G26"/>
  </mergeCells>
  <conditionalFormatting sqref="H11">
    <cfRule type="containsText" dxfId="16" priority="1" operator="containsText" text="~?">
      <formula>NOT(ISERROR(SEARCH("~?",H11)))</formula>
    </cfRule>
  </conditionalFormatting>
  <conditionalFormatting sqref="H16">
    <cfRule type="containsText" dxfId="16" priority="2" operator="containsText" text="~?">
      <formula>NOT(ISERROR(SEARCH("~?",H16)))</formula>
    </cfRule>
  </conditionalFormatting>
  <conditionalFormatting sqref="H21">
    <cfRule type="containsText" dxfId="16" priority="3" operator="containsText" text="~?">
      <formula>NOT(ISERROR(SEARCH("~?",H21)))</formula>
    </cfRule>
  </conditionalFormatting>
  <conditionalFormatting sqref="C11:G25">
    <cfRule type="expression" dxfId="10" priority="4">
      <formula>$I11=1</formula>
    </cfRule>
  </conditionalFormatting>
  <conditionalFormatting sqref="$H11">
    <cfRule type="expression" dxfId="17" priority="5">
      <formula>$H11=""</formula>
    </cfRule>
  </conditionalFormatting>
  <conditionalFormatting sqref="$H16">
    <cfRule type="expression" dxfId="18" priority="6">
      <formula>$H16=""</formula>
    </cfRule>
  </conditionalFormatting>
  <conditionalFormatting sqref="$H21">
    <cfRule type="expression" dxfId="19" priority="7">
      <formula>$H21=""</formula>
    </cfRule>
  </conditionalFormatting>
  <conditionalFormatting sqref="H11:H25">
    <cfRule type="expression" dxfId="11" priority="8">
      <formula>$H11 ="Complete"</formula>
    </cfRule>
    <cfRule type="expression" dxfId="12" priority="9">
      <formula>$H11=1</formula>
    </cfRule>
    <cfRule type="expression" dxfId="13" priority="10">
      <formula>$H11</formula>
    </cfRule>
    <cfRule type="expression" dxfId="14" priority="11">
      <formula>AND(NOT(ISBLANK($H11)), NOT($H11))</formula>
    </cfRule>
    <cfRule type="expression" dxfId="15" priority="12">
      <formula>NOT(ISBLANK($H11))</formula>
    </cfRule>
  </conditionalFormatting>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X5"/>
  <sheetViews>
    <sheetView tabSelected="0" workbookViewId="0" showGridLines="true" showRowColHeaders="1">
      <selection activeCell="A1" sqref="A1:X5"/>
    </sheetView>
  </sheetViews>
  <sheetFormatPr defaultRowHeight="14.4" outlineLevelRow="0" outlineLevelCol="0"/>
  <sheetData>
    <row r="1" spans="1:24">
      <c r="A1" s="34" t="s">
        <v>59</v>
      </c>
      <c r="B1" s="1" t="str">
        <f>FALSE()</f>
        <v>0</v>
      </c>
      <c r="C1" s="1" t="str">
        <f>FALSE()</f>
        <v>0</v>
      </c>
      <c r="D1" s="34" t="s">
        <v>62</v>
      </c>
      <c r="E1" s="1" t="str">
        <f>FALSE()</f>
        <v>0</v>
      </c>
      <c r="F1" s="1" t="str">
        <f>TRUE()</f>
        <v>0</v>
      </c>
      <c r="G1" s="34" t="s">
        <v>67</v>
      </c>
      <c r="H1" s="1" t="str">
        <f>FALSE()</f>
        <v>0</v>
      </c>
      <c r="I1" s="1" t="str">
        <f>FALSE()</f>
        <v>0</v>
      </c>
      <c r="J1" s="34" t="s">
        <v>70</v>
      </c>
      <c r="K1" s="1" t="str">
        <f>FALSE()</f>
        <v>0</v>
      </c>
      <c r="L1" s="1" t="str">
        <f>FALSE()</f>
        <v>0</v>
      </c>
      <c r="M1" s="34" t="s">
        <v>73</v>
      </c>
      <c r="N1" s="1" t="str">
        <f>FALSE()</f>
        <v>0</v>
      </c>
      <c r="O1" s="1" t="str">
        <f>FALSE()</f>
        <v>0</v>
      </c>
      <c r="P1" s="34" t="s">
        <v>76</v>
      </c>
      <c r="Q1" s="1" t="str">
        <f>TRUE()</f>
        <v>0</v>
      </c>
      <c r="R1" s="1" t="str">
        <f>FALSE()</f>
        <v>0</v>
      </c>
      <c r="S1" s="34" t="s">
        <v>79</v>
      </c>
      <c r="T1" s="1" t="str">
        <f>FALSE()</f>
        <v>0</v>
      </c>
      <c r="U1" s="1" t="str">
        <f>FALSE()</f>
        <v>0</v>
      </c>
      <c r="V1" s="34" t="s">
        <v>82</v>
      </c>
      <c r="W1" s="1" t="str">
        <f>FALSE()</f>
        <v>0</v>
      </c>
      <c r="X1" s="1" t="str">
        <f>FALSE()</f>
        <v>0</v>
      </c>
    </row>
    <row r="2" spans="1:24">
      <c r="A2" s="34" t="s">
        <v>60</v>
      </c>
      <c r="B2" s="1" t="str">
        <f>TRUE()</f>
        <v>0</v>
      </c>
      <c r="C2" s="1" t="str">
        <f>FALSE()</f>
        <v>0</v>
      </c>
      <c r="D2" s="34" t="s">
        <v>63</v>
      </c>
      <c r="E2" s="1" t="str">
        <f>FALSE()</f>
        <v>0</v>
      </c>
      <c r="F2" s="1" t="str">
        <f>TRUE()</f>
        <v>0</v>
      </c>
      <c r="G2" s="34" t="s">
        <v>68</v>
      </c>
      <c r="H2" s="1" t="str">
        <f>FALSE()</f>
        <v>0</v>
      </c>
      <c r="I2" s="1" t="str">
        <f>FALSE()</f>
        <v>0</v>
      </c>
      <c r="J2" s="34" t="s">
        <v>71</v>
      </c>
      <c r="K2" s="1" t="str">
        <f>TRUE()</f>
        <v>0</v>
      </c>
      <c r="L2" s="1" t="str">
        <f>FALSE()</f>
        <v>0</v>
      </c>
      <c r="M2" s="34" t="s">
        <v>74</v>
      </c>
      <c r="N2" s="1" t="str">
        <f>TRUE()</f>
        <v>0</v>
      </c>
      <c r="O2" s="1" t="str">
        <f>FALSE()</f>
        <v>0</v>
      </c>
      <c r="P2" s="34" t="s">
        <v>77</v>
      </c>
      <c r="Q2" s="1" t="str">
        <f>FALSE()</f>
        <v>0</v>
      </c>
      <c r="R2" s="1" t="str">
        <f>FALSE()</f>
        <v>0</v>
      </c>
      <c r="S2" s="34" t="s">
        <v>80</v>
      </c>
      <c r="T2" s="1" t="str">
        <f>TRUE()</f>
        <v>0</v>
      </c>
      <c r="U2" s="1" t="str">
        <f>FALSE()</f>
        <v>0</v>
      </c>
      <c r="V2" s="34" t="s">
        <v>83</v>
      </c>
      <c r="W2" s="1" t="str">
        <f>TRUE()</f>
        <v>0</v>
      </c>
      <c r="X2" s="1" t="str">
        <f>FALSE()</f>
        <v>0</v>
      </c>
    </row>
    <row r="3" spans="1:24">
      <c r="A3" s="1" t="s">
        <v>61</v>
      </c>
      <c r="B3" s="1"/>
      <c r="C3" s="1"/>
      <c r="D3" s="34" t="s">
        <v>64</v>
      </c>
      <c r="E3" s="1" t="str">
        <f>FALSE()</f>
        <v>0</v>
      </c>
      <c r="F3" s="1" t="str">
        <f>TRUE()</f>
        <v>0</v>
      </c>
      <c r="G3" s="1" t="s">
        <v>69</v>
      </c>
      <c r="H3" s="1"/>
      <c r="I3" s="1"/>
      <c r="J3" s="1" t="s">
        <v>72</v>
      </c>
      <c r="K3" s="1"/>
      <c r="L3" s="1"/>
      <c r="M3" s="1" t="s">
        <v>75</v>
      </c>
      <c r="N3" s="1"/>
      <c r="O3" s="1"/>
      <c r="P3" s="1" t="s">
        <v>78</v>
      </c>
      <c r="Q3" s="1"/>
      <c r="R3" s="1"/>
      <c r="S3" s="1" t="s">
        <v>81</v>
      </c>
      <c r="T3" s="1"/>
      <c r="U3" s="1"/>
      <c r="V3" s="1" t="s">
        <v>84</v>
      </c>
      <c r="W3" s="1"/>
      <c r="X3" s="1"/>
    </row>
    <row r="4" spans="1:24">
      <c r="A4" s="1"/>
      <c r="B4" s="1"/>
      <c r="C4" s="1"/>
      <c r="D4" s="34" t="s">
        <v>65</v>
      </c>
      <c r="E4" s="1" t="str">
        <f>TRUE()</f>
        <v>0</v>
      </c>
      <c r="F4" s="1" t="str">
        <f>FALSE()</f>
        <v>0</v>
      </c>
      <c r="G4" s="1"/>
      <c r="H4" s="1"/>
      <c r="I4" s="1"/>
      <c r="J4" s="1"/>
      <c r="K4" s="1"/>
      <c r="L4" s="1"/>
      <c r="M4" s="1"/>
      <c r="N4" s="1"/>
      <c r="O4" s="1"/>
      <c r="P4" s="1"/>
      <c r="Q4" s="1"/>
      <c r="R4" s="1"/>
      <c r="S4" s="1"/>
      <c r="T4" s="1"/>
      <c r="U4" s="1"/>
      <c r="V4" s="1"/>
      <c r="W4" s="1"/>
      <c r="X4" s="1"/>
    </row>
    <row r="5" spans="1:24">
      <c r="A5" s="1"/>
      <c r="B5" s="1"/>
      <c r="C5" s="1"/>
      <c r="D5" s="1" t="s">
        <v>66</v>
      </c>
      <c r="E5" s="1"/>
      <c r="F5" s="1"/>
      <c r="G5" s="1"/>
      <c r="H5" s="1"/>
      <c r="I5" s="1"/>
      <c r="J5" s="1"/>
      <c r="K5" s="1"/>
      <c r="L5" s="1"/>
      <c r="M5" s="1"/>
      <c r="N5" s="1"/>
      <c r="O5" s="1"/>
      <c r="P5" s="1"/>
      <c r="Q5" s="1"/>
      <c r="R5" s="1"/>
      <c r="S5" s="1"/>
      <c r="T5" s="1"/>
      <c r="U5" s="1"/>
      <c r="V5" s="1"/>
      <c r="W5" s="1"/>
      <c r="X5" s="1"/>
    </row>
  </sheetData>
  <sheetProtection password="E36C" sheet="1" objects="1" scenarios="1" formatCells="1" formatColumns="1" formatRows="1" insertColumns="1" insertRows="1" insertHyperlinks="1" deleteColumns="1" deleteRows="1" sort="1" autoFilter="1" pivotTables="1" selectLockedCells="1" selectUnlockedCells="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Summary</vt:lpstr>
      <vt:lpstr>1</vt:lpstr>
      <vt:lpstr>2</vt:lpstr>
      <vt:lpstr>Response Options (hidden)</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Bonfire</dc:creator>
  <cp:lastModifiedBy>Bonfire</cp:lastModifiedBy>
  <dcterms:created xsi:type="dcterms:W3CDTF">2026-05-27T16:05:07+00:00</dcterms:created>
  <dcterms:modified xsi:type="dcterms:W3CDTF">2026-05-27T16:05:07+00:00</dcterms:modified>
  <dc:title>Questionnaire Response Template</dc:title>
  <dc:description/>
  <dc:subject/>
  <cp:keywords/>
  <cp:category/>
</cp:coreProperties>
</file>